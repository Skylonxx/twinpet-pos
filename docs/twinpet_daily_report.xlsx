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8_กำไรจากการขาย" sheetId="1" state="visible" r:id="rId3"/>
    <sheet name="7_ยอดขายตามขนาด" sheetId="2" state="visible" r:id="rId4"/>
    <sheet name="6_เงินเข้า-ออก" sheetId="3" state="visible" r:id="rId5"/>
    <sheet name="5_ไม่มีการขาย" sheetId="4" state="visible" r:id="rId6"/>
    <sheet name="4_รายละเอียดบิล" sheetId="5" state="visible" r:id="rId7"/>
    <sheet name="3_ช่องทางชำระเงิน" sheetId="6" state="visible" r:id="rId8"/>
    <sheet name="2_สรุปสินค้า" sheetId="7" state="visible" r:id="rId9"/>
    <sheet name="1_สรุปรายวัน" sheetId="8" state="visible" r:id="rId10"/>
    <sheet name="⚙️ตั้งค่า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<sst xmlns="http://schemas.openxmlformats.org/spreadsheetml/2006/main" count="463" uniqueCount="212">
  <si>
    <t xml:space="preserve">📈 กำไรจากการขาย (Profit Analysis)</t>
  </si>
  <si>
    <t xml:space="preserve">สาขา: สาขาลาดพร้าว  |  ช่วงวันที่: 01/05/2026 – 24/05/2026  |  สร้างเมื่อ: 25/05/2026 05:09</t>
  </si>
  <si>
    <t xml:space="preserve">สินค้า</t>
  </si>
  <si>
    <t xml:space="preserve">SKU</t>
  </si>
  <si>
    <t xml:space="preserve">หมวด</t>
  </si>
  <si>
    <t xml:space="preserve">จำนวนขาย</t>
  </si>
  <si>
    <t xml:space="preserve">ยอดขาย</t>
  </si>
  <si>
    <t xml:space="preserve">ต้นทุนรวม</t>
  </si>
  <si>
    <t xml:space="preserve">กำไรขั้นต้น</t>
  </si>
  <si>
    <t xml:space="preserve">Margin%</t>
  </si>
  <si>
    <t xml:space="preserve">กำไร/ชิ้น</t>
  </si>
  <si>
    <t xml:space="preserve">Royal Canin Adult 3kg</t>
  </si>
  <si>
    <t xml:space="preserve">RC-A3</t>
  </si>
  <si>
    <t xml:space="preserve">อาหารสุนัข</t>
  </si>
  <si>
    <t xml:space="preserve">Purina Pro Plan Puppy</t>
  </si>
  <si>
    <t xml:space="preserve">PP-PUP</t>
  </si>
  <si>
    <t xml:space="preserve">Catit Water Fountain</t>
  </si>
  <si>
    <t xml:space="preserve">CW-F1</t>
  </si>
  <si>
    <t xml:space="preserve">อุปกรณ์</t>
  </si>
  <si>
    <t xml:space="preserve">NexGard M</t>
  </si>
  <si>
    <t xml:space="preserve">NG-M</t>
  </si>
  <si>
    <t xml:space="preserve">ยาและวิตามิน</t>
  </si>
  <si>
    <t xml:space="preserve">Frontline Plus Dog L</t>
  </si>
  <si>
    <t xml:space="preserve">FL-DL</t>
  </si>
  <si>
    <t xml:space="preserve">Hills Science Diet Cat</t>
  </si>
  <si>
    <t xml:space="preserve">HS-C1</t>
  </si>
  <si>
    <t xml:space="preserve">อาหารแมว</t>
  </si>
  <si>
    <t xml:space="preserve">Rolf Club Collar Cat</t>
  </si>
  <si>
    <t xml:space="preserve">RC-CC</t>
  </si>
  <si>
    <t xml:space="preserve">Cat Scratcher Deluxe</t>
  </si>
  <si>
    <t xml:space="preserve">CS-DX</t>
  </si>
  <si>
    <t xml:space="preserve">ของเล่น</t>
  </si>
  <si>
    <t xml:space="preserve">Whiskas Tuna 85g 24pc</t>
  </si>
  <si>
    <t xml:space="preserve">WK-T24</t>
  </si>
  <si>
    <t xml:space="preserve">Petsafe Clicker</t>
  </si>
  <si>
    <t xml:space="preserve">PC-CL</t>
  </si>
  <si>
    <t xml:space="preserve">Tidy Cats 8kg</t>
  </si>
  <si>
    <t xml:space="preserve">TC-C8</t>
  </si>
  <si>
    <t xml:space="preserve">ทรายแมว</t>
  </si>
  <si>
    <t xml:space="preserve">Pedigree Dentastix</t>
  </si>
  <si>
    <t xml:space="preserve">PD-DX</t>
  </si>
  <si>
    <t xml:space="preserve">รวม</t>
  </si>
  <si>
    <t xml:space="preserve">📐 ยอดขายตามขนาดบรรจุ (UOM)</t>
  </si>
  <si>
    <t xml:space="preserve">ขนาดบรรจุ</t>
  </si>
  <si>
    <t xml:space="preserve">หน่วย</t>
  </si>
  <si>
    <t xml:space="preserve">ราคา/หน่วย</t>
  </si>
  <si>
    <t xml:space="preserve">กำไร/หน่วย</t>
  </si>
  <si>
    <t xml:space="preserve">3kg</t>
  </si>
  <si>
    <t xml:space="preserve">กก.</t>
  </si>
  <si>
    <t xml:space="preserve">1.5kg</t>
  </si>
  <si>
    <t xml:space="preserve">Whiskas Tuna 85g</t>
  </si>
  <si>
    <t xml:space="preserve">85g×24</t>
  </si>
  <si>
    <t xml:space="preserve">กล่อง</t>
  </si>
  <si>
    <t xml:space="preserve">7pcs/box</t>
  </si>
  <si>
    <t xml:space="preserve">Tidy Cats</t>
  </si>
  <si>
    <t xml:space="preserve">8kg</t>
  </si>
  <si>
    <t xml:space="preserve">1pc</t>
  </si>
  <si>
    <t xml:space="preserve">ชิ้น</t>
  </si>
  <si>
    <t xml:space="preserve">1set</t>
  </si>
  <si>
    <t xml:space="preserve">ชุด</t>
  </si>
  <si>
    <t xml:space="preserve">3tabs</t>
  </si>
  <si>
    <t xml:space="preserve">💰 สรุปเงินเข้า-ออก (Cash Flow)</t>
  </si>
  <si>
    <t xml:space="preserve">รายการเงินเข้า</t>
  </si>
  <si>
    <t xml:space="preserve">รายการ</t>
  </si>
  <si>
    <t xml:space="preserve">ประเภท</t>
  </si>
  <si>
    <t xml:space="preserve">จำนวนเงิน</t>
  </si>
  <si>
    <t xml:space="preserve">หมายเหตุ</t>
  </si>
  <si>
    <t xml:space="preserve">ยอดขายเงินสด</t>
  </si>
  <si>
    <t xml:space="preserve">เงินสด</t>
  </si>
  <si>
    <t xml:space="preserve">ยอดขาย PromptPay</t>
  </si>
  <si>
    <t xml:space="preserve">โอน</t>
  </si>
  <si>
    <t xml:space="preserve">ยอดขาย KBank QR</t>
  </si>
  <si>
    <t xml:space="preserve">ยอดขาย EDC บัตร</t>
  </si>
  <si>
    <t xml:space="preserve">บัตร</t>
  </si>
  <si>
    <t xml:space="preserve">รับชำระหนี้ค้าง</t>
  </si>
  <si>
    <t xml:space="preserve">รวมเงินเข้า</t>
  </si>
  <si>
    <t xml:space="preserve">รายการเงินออก</t>
  </si>
  <si>
    <t xml:space="preserve">ต้นทุนสินค้าที่ขาย</t>
  </si>
  <si>
    <t xml:space="preserve">COGS</t>
  </si>
  <si>
    <t xml:space="preserve">ค่าจ้างพนักงาน</t>
  </si>
  <si>
    <t xml:space="preserve">ค่าใช้จ่าย</t>
  </si>
  <si>
    <t xml:space="preserve">ค่าเช่าสถานที่</t>
  </si>
  <si>
    <t xml:space="preserve">ค่าสาธารณูปโภค</t>
  </si>
  <si>
    <t xml:space="preserve">ค่าจัดส่งสินค้า</t>
  </si>
  <si>
    <t xml:space="preserve">รวมเงินออก</t>
  </si>
  <si>
    <t xml:space="preserve">กระแสเงินสดสุทธิ</t>
  </si>
  <si>
    <t xml:space="preserve">⚠️ สินค้าที่ไม่มีการขายในช่วงเวลา</t>
  </si>
  <si>
    <t xml:space="preserve">ชื่อสินค้า</t>
  </si>
  <si>
    <t xml:space="preserve">หมวดหมู่</t>
  </si>
  <si>
    <t xml:space="preserve">ราคาขาย</t>
  </si>
  <si>
    <t xml:space="preserve">ต้นทุน</t>
  </si>
  <si>
    <t xml:space="preserve">Furminator Dog</t>
  </si>
  <si>
    <t xml:space="preserve">FRM-D</t>
  </si>
  <si>
    <t xml:space="preserve">ตรวจสอบสต็อก</t>
  </si>
  <si>
    <t xml:space="preserve">Bil-Jac Puppy</t>
  </si>
  <si>
    <t xml:space="preserve">BJ-P1</t>
  </si>
  <si>
    <t xml:space="preserve">พิจารณาโปรโมชั่น</t>
  </si>
  <si>
    <t xml:space="preserve">Greenies Cat</t>
  </si>
  <si>
    <t xml:space="preserve">GR-C1</t>
  </si>
  <si>
    <t xml:space="preserve">รวมสินค้าที่ไม่ขาย: 3 รายการ</t>
  </si>
  <si>
    <t xml:space="preserve">🧾 ยอดขายตามรายละเอียดบิล</t>
  </si>
  <si>
    <t xml:space="preserve">วันที่</t>
  </si>
  <si>
    <t xml:space="preserve">เลขบิล</t>
  </si>
  <si>
    <t xml:space="preserve">ลูกค้า</t>
  </si>
  <si>
    <t xml:space="preserve">ช่องทาง</t>
  </si>
  <si>
    <t xml:space="preserve">พนักงาน</t>
  </si>
  <si>
    <t xml:space="preserve">กำไร</t>
  </si>
  <si>
    <t xml:space="preserve">TW-0517</t>
  </si>
  <si>
    <t xml:space="preserve">คุณอนุชา บุญมา</t>
  </si>
  <si>
    <t xml:space="preserve">วิชัย ขยันดี</t>
  </si>
  <si>
    <t xml:space="preserve">TW-0527</t>
  </si>
  <si>
    <t xml:space="preserve">คุณมาลี สุขใจ</t>
  </si>
  <si>
    <t xml:space="preserve">KBank QR</t>
  </si>
  <si>
    <t xml:space="preserve">สมชาย ดีมาก</t>
  </si>
  <si>
    <t xml:space="preserve">TW-0537</t>
  </si>
  <si>
    <t xml:space="preserve">คุณพรทิพย์</t>
  </si>
  <si>
    <t xml:space="preserve">สุดา ใจดี</t>
  </si>
  <si>
    <t xml:space="preserve">TW-0507</t>
  </si>
  <si>
    <t xml:space="preserve">PromptPay QR</t>
  </si>
  <si>
    <t xml:space="preserve">TW-0520</t>
  </si>
  <si>
    <t xml:space="preserve">TW-0512</t>
  </si>
  <si>
    <t xml:space="preserve">สมาชิกทั่วไป</t>
  </si>
  <si>
    <t xml:space="preserve">นงนุช สวัสดี</t>
  </si>
  <si>
    <t xml:space="preserve">TW-0533</t>
  </si>
  <si>
    <t xml:space="preserve">TW-0534</t>
  </si>
  <si>
    <t xml:space="preserve">TW-0521</t>
  </si>
  <si>
    <t xml:space="preserve">คุณวิชัย เก่งมาก</t>
  </si>
  <si>
    <t xml:space="preserve">TW-0540</t>
  </si>
  <si>
    <t xml:space="preserve">TW-0505</t>
  </si>
  <si>
    <t xml:space="preserve">TW-0524</t>
  </si>
  <si>
    <t xml:space="preserve">EDC บัตร</t>
  </si>
  <si>
    <t xml:space="preserve">TW-0535</t>
  </si>
  <si>
    <t xml:space="preserve">TW-0541</t>
  </si>
  <si>
    <t xml:space="preserve">TW-0543</t>
  </si>
  <si>
    <t xml:space="preserve">TW-0506</t>
  </si>
  <si>
    <t xml:space="preserve">เชื่อ</t>
  </si>
  <si>
    <t xml:space="preserve">TW-0519</t>
  </si>
  <si>
    <t xml:space="preserve">TW-0526</t>
  </si>
  <si>
    <t xml:space="preserve">TW-0504</t>
  </si>
  <si>
    <t xml:space="preserve">TW-0544</t>
  </si>
  <si>
    <t xml:space="preserve">TW-0532</t>
  </si>
  <si>
    <t xml:space="preserve">TW-0525</t>
  </si>
  <si>
    <t xml:space="preserve">TW-0528</t>
  </si>
  <si>
    <t xml:space="preserve">TW-0511</t>
  </si>
  <si>
    <t xml:space="preserve">TW-0522</t>
  </si>
  <si>
    <t xml:space="preserve">TW-0542</t>
  </si>
  <si>
    <t xml:space="preserve">TW-0545</t>
  </si>
  <si>
    <t xml:space="preserve">TW-0503</t>
  </si>
  <si>
    <t xml:space="preserve">TW-0513</t>
  </si>
  <si>
    <t xml:space="preserve">TW-0515</t>
  </si>
  <si>
    <t xml:space="preserve">TW-0548</t>
  </si>
  <si>
    <t xml:space="preserve">TW-0518</t>
  </si>
  <si>
    <t xml:space="preserve">TW-0502</t>
  </si>
  <si>
    <t xml:space="preserve">TW-0501</t>
  </si>
  <si>
    <t xml:space="preserve">TW-0509</t>
  </si>
  <si>
    <t xml:space="preserve">TW-0549</t>
  </si>
  <si>
    <t xml:space="preserve">TW-0510</t>
  </si>
  <si>
    <t xml:space="preserve">TW-0531</t>
  </si>
  <si>
    <t xml:space="preserve">TW-0516</t>
  </si>
  <si>
    <t xml:space="preserve">TW-0547</t>
  </si>
  <si>
    <t xml:space="preserve">TW-0500</t>
  </si>
  <si>
    <t xml:space="preserve">TW-0546</t>
  </si>
  <si>
    <t xml:space="preserve">TW-0514</t>
  </si>
  <si>
    <t xml:space="preserve">TW-0529</t>
  </si>
  <si>
    <t xml:space="preserve">TW-0530</t>
  </si>
  <si>
    <t xml:space="preserve">TW-0538</t>
  </si>
  <si>
    <t xml:space="preserve">TW-0508</t>
  </si>
  <si>
    <t xml:space="preserve">TW-0536</t>
  </si>
  <si>
    <t xml:space="preserve">TW-0523</t>
  </si>
  <si>
    <t xml:space="preserve">TW-0539</t>
  </si>
  <si>
    <t xml:space="preserve">💳 สรุปช่องทางการชำระเงิน</t>
  </si>
  <si>
    <t xml:space="preserve">จำนวนบิล</t>
  </si>
  <si>
    <t xml:space="preserve">ยอดรวม</t>
  </si>
  <si>
    <t xml:space="preserve">สัดส่วน %</t>
  </si>
  <si>
    <t xml:space="preserve">บิลเฉลี่ย</t>
  </si>
  <si>
    <t xml:space="preserve">ยอดสูงสุด/บิล</t>
  </si>
  <si>
    <t xml:space="preserve">QR PromptPay กลาง</t>
  </si>
  <si>
    <t xml:space="preserve">QR KBank</t>
  </si>
  <si>
    <t xml:space="preserve">สะสม quick bills</t>
  </si>
  <si>
    <t xml:space="preserve">EDC เครื่องรูด</t>
  </si>
  <si>
    <t xml:space="preserve">บันทึกหนี้ค้างชำระ</t>
  </si>
  <si>
    <t xml:space="preserve">📦 สรุปยอดขายตามสินค้า</t>
  </si>
  <si>
    <t xml:space="preserve">📊 สรุปยอดขายรายวัน — TwinPet POS</t>
  </si>
  <si>
    <t xml:space="preserve">ยอดขายรวม</t>
  </si>
  <si>
    <t xml:space="preserve">Gross Margin</t>
  </si>
  <si>
    <t xml:space="preserve">ลูกค้า(คน)</t>
  </si>
  <si>
    <t xml:space="preserve">บิลเฉลี่ย/ใบ</t>
  </si>
  <si>
    <t xml:space="preserve">รวมทั้งหมด</t>
  </si>
  <si>
    <t xml:space="preserve">⚙️ ตั้งค่าช่วงวันที่และกรองข้อมูล</t>
  </si>
  <si>
    <t xml:space="preserve">ℹ️ วิธีใช้: แก้ไขวันที่ในเซลล์สีเหลืองด้านล่าง แล้วรีเฟรช Sheet อื่นๆ</t>
  </si>
  <si>
    <t xml:space="preserve">วันที่เริ่มต้น</t>
  </si>
  <si>
    <t xml:space="preserve">วันที่สิ้นสุด</t>
  </si>
  <si>
    <t xml:space="preserve">สาขา</t>
  </si>
  <si>
    <t xml:space="preserve">สาขาลาดพร้าว</t>
  </si>
  <si>
    <t xml:space="preserve">Sheet</t>
  </si>
  <si>
    <t xml:space="preserve">คำอธิบาย</t>
  </si>
  <si>
    <t xml:space="preserve">1_สรุปรายวัน</t>
  </si>
  <si>
    <t xml:space="preserve">ยอดขาย รายได้ กำไร แยกรายวัน</t>
  </si>
  <si>
    <t xml:space="preserve">2_สรุปสินค้า</t>
  </si>
  <si>
    <t xml:space="preserve">ยอดขายและกำไรแยกรายสินค้า เรียงจากมากสุด</t>
  </si>
  <si>
    <t xml:space="preserve">3_ช่องทางชำระเงิน</t>
  </si>
  <si>
    <t xml:space="preserve">สัดส่วนช่องทาง: เงินสด / QR / EDC / เชื่อ</t>
  </si>
  <si>
    <t xml:space="preserve">4_รายละเอียดบิล</t>
  </si>
  <si>
    <t xml:space="preserve">ทุกบิล: วันที่ ลูกค้า พนักงาน ยอด กำไร</t>
  </si>
  <si>
    <t xml:space="preserve">5_ไม่มีการขาย</t>
  </si>
  <si>
    <t xml:space="preserve">สินค้าที่ยังไม่ถูกขายในช่วงเวลา</t>
  </si>
  <si>
    <t xml:space="preserve">6_เงินเข้า-ออก</t>
  </si>
  <si>
    <t xml:space="preserve">Cash flow: เงินเข้าจากการขาย vs ค่าใช้จ่าย</t>
  </si>
  <si>
    <t xml:space="preserve">7_ยอดขายตามขนาด</t>
  </si>
  <si>
    <t xml:space="preserve">ยอดขายแยกตาม UOM / ขนาดบรรจุ</t>
  </si>
  <si>
    <t xml:space="preserve">8_กำไรจากการขาย</t>
  </si>
  <si>
    <t xml:space="preserve">Profit analysis สีเขียว/แดงตาม margin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</si>
</sst>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\฿"/>
    <numFmt numFmtId="167" formatCode="0.0%"/>
    <numFmt numFmtId="168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5F5E5A"/>
      <name val="Arial"/>
      <family val="0"/>
      <charset val="1"/>
    </font>
    <font>
      <b val="true"/>
      <sz val="9"/>
      <color rgb="FF3C3489"/>
      <name val="Arial"/>
      <family val="0"/>
      <charset val="1"/>
    </font>
    <font>
      <sz val="9"/>
      <color rgb="FF1A1A2E"/>
      <name val="Arial"/>
      <family val="0"/>
      <charset val="1"/>
    </font>
    <font>
      <sz val="9"/>
      <color rgb="FF0F6E56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9"/>
      <color rgb="FF0F6E56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b val="true"/>
      <sz val="9"/>
      <color rgb="FFA32D2D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2"/>
      <color rgb="FF534AB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854F0B"/>
      <name val="Arial"/>
      <family val="0"/>
      <charset val="1"/>
    </font>
    <font>
      <b val="true"/>
      <sz val="12"/>
      <color rgb="FF0F6E56"/>
      <name val="Arial"/>
      <family val="0"/>
      <charset val="1"/>
    </font>
    <font>
      <b val="true"/>
      <sz val="12"/>
      <color rgb="FF185FA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534AB7"/>
        <bgColor rgb="FF6B62C9"/>
      </patternFill>
    </fill>
    <fill>
      <patternFill patternType="solid">
        <fgColor rgb="FFEEEDFE"/>
        <bgColor rgb="FFE6F1FB"/>
      </patternFill>
    </fill>
    <fill>
      <patternFill patternType="solid">
        <fgColor rgb="FFFFFFFF"/>
        <bgColor rgb="FFF8F8FC"/>
      </patternFill>
    </fill>
    <fill>
      <patternFill patternType="solid">
        <fgColor rgb="FFE1F5EE"/>
        <bgColor rgb="FFE6F1FB"/>
      </patternFill>
    </fill>
    <fill>
      <patternFill patternType="solid">
        <fgColor rgb="FFF8F8FC"/>
        <bgColor rgb="FFFFFFFF"/>
      </patternFill>
    </fill>
    <fill>
      <patternFill patternType="solid">
        <fgColor rgb="FFFCEBEB"/>
        <bgColor rgb="FFFAEEDA"/>
      </patternFill>
    </fill>
    <fill>
      <patternFill patternType="solid">
        <fgColor rgb="FFE6F1FB"/>
        <bgColor rgb="FFEEEDFE"/>
      </patternFill>
    </fill>
    <fill>
      <patternFill patternType="solid">
        <fgColor rgb="FFFAEEDA"/>
        <bgColor rgb="FFFCEBEB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0C0C0"/>
      <rgbColor rgb="FF888780"/>
      <rgbColor rgb="FF9999FF"/>
      <rgbColor rgb="FF5F5E5A"/>
      <rgbColor rgb="FFFAEEDA"/>
      <rgbColor rgb="FFE1F5EE"/>
      <rgbColor rgb="FF660066"/>
      <rgbColor rgb="FFFF8080"/>
      <rgbColor rgb="FF185FA5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EEDFE"/>
      <rgbColor rgb="FFFCEBEB"/>
      <rgbColor rgb="FF99CCFF"/>
      <rgbColor rgb="FFFF99CC"/>
      <rgbColor rgb="FFCC99FF"/>
      <rgbColor rgb="FFF8F8FC"/>
      <rgbColor rgb="FF534AB7"/>
      <rgbColor rgb="FF33CCCC"/>
      <rgbColor rgb="FF99CC00"/>
      <rgbColor rgb="FFFFCC00"/>
      <rgbColor rgb="FFFF9900"/>
      <rgbColor rgb="FFFF6600"/>
      <rgbColor rgb="FF6B62C9"/>
      <rgbColor rgb="FF999999"/>
      <rgbColor rgb="FF003366"/>
      <rgbColor rgb="FF1D9E75"/>
      <rgbColor rgb="FF003300"/>
      <rgbColor rgb="FF333300"/>
      <rgbColor rgb="FFA32D2D"/>
      <rgbColor rgb="FF993366"/>
      <rgbColor rgb="FF3C348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I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s">
        <v>11</v>
      </c>
      <c r="B5" s="5" t="s">
        <v>12</v>
      </c>
      <c r="C5" s="5" t="s">
        <v>13</v>
      </c>
      <c r="D5" s="6" t="n">
        <v>20</v>
      </c>
      <c r="E5" s="7" t="n">
        <v>9600</v>
      </c>
      <c r="F5" s="7" t="n">
        <v>6300</v>
      </c>
      <c r="G5" s="7" t="n">
        <v>3300</v>
      </c>
      <c r="H5" s="8" t="n">
        <v>0.34375</v>
      </c>
      <c r="I5" s="7" t="n">
        <v>165</v>
      </c>
    </row>
    <row r="6" customFormat="false" ht="15" hidden="false" customHeight="false" outlineLevel="0" collapsed="false">
      <c r="A6" s="9" t="s">
        <v>14</v>
      </c>
      <c r="B6" s="9" t="s">
        <v>15</v>
      </c>
      <c r="C6" s="9" t="s">
        <v>13</v>
      </c>
      <c r="D6" s="10" t="n">
        <v>20</v>
      </c>
      <c r="E6" s="11" t="n">
        <v>10400</v>
      </c>
      <c r="F6" s="11" t="n">
        <v>8240</v>
      </c>
      <c r="G6" s="11" t="n">
        <v>2160</v>
      </c>
      <c r="H6" s="8" t="n">
        <v>0.207692307692308</v>
      </c>
      <c r="I6" s="11" t="n">
        <v>108</v>
      </c>
    </row>
    <row r="7" customFormat="false" ht="15" hidden="false" customHeight="false" outlineLevel="0" collapsed="false">
      <c r="A7" s="5" t="s">
        <v>16</v>
      </c>
      <c r="B7" s="5" t="s">
        <v>17</v>
      </c>
      <c r="C7" s="5" t="s">
        <v>18</v>
      </c>
      <c r="D7" s="6" t="n">
        <v>12</v>
      </c>
      <c r="E7" s="7" t="n">
        <v>9840</v>
      </c>
      <c r="F7" s="7" t="n">
        <v>7800</v>
      </c>
      <c r="G7" s="7" t="n">
        <v>2040</v>
      </c>
      <c r="H7" s="8" t="n">
        <v>0.207317073170732</v>
      </c>
      <c r="I7" s="7" t="n">
        <v>170</v>
      </c>
    </row>
    <row r="8" customFormat="false" ht="15" hidden="false" customHeight="false" outlineLevel="0" collapsed="false">
      <c r="A8" s="9" t="s">
        <v>19</v>
      </c>
      <c r="B8" s="9" t="s">
        <v>20</v>
      </c>
      <c r="C8" s="9" t="s">
        <v>21</v>
      </c>
      <c r="D8" s="10" t="n">
        <v>26</v>
      </c>
      <c r="E8" s="11" t="n">
        <v>8060</v>
      </c>
      <c r="F8" s="11" t="n">
        <v>6240</v>
      </c>
      <c r="G8" s="11" t="n">
        <v>1820</v>
      </c>
      <c r="H8" s="8" t="n">
        <v>0.225806451612903</v>
      </c>
      <c r="I8" s="11" t="n">
        <v>70</v>
      </c>
    </row>
    <row r="9" customFormat="false" ht="15" hidden="false" customHeight="false" outlineLevel="0" collapsed="false">
      <c r="A9" s="5" t="s">
        <v>22</v>
      </c>
      <c r="B9" s="5" t="s">
        <v>23</v>
      </c>
      <c r="C9" s="5" t="s">
        <v>21</v>
      </c>
      <c r="D9" s="6" t="n">
        <v>22</v>
      </c>
      <c r="E9" s="7" t="n">
        <v>5500</v>
      </c>
      <c r="F9" s="7" t="n">
        <v>4290</v>
      </c>
      <c r="G9" s="7" t="n">
        <v>1210</v>
      </c>
      <c r="H9" s="8" t="n">
        <v>0.22</v>
      </c>
      <c r="I9" s="7" t="n">
        <v>55</v>
      </c>
    </row>
    <row r="10" customFormat="false" ht="15" hidden="false" customHeight="false" outlineLevel="0" collapsed="false">
      <c r="A10" s="9" t="s">
        <v>24</v>
      </c>
      <c r="B10" s="9" t="s">
        <v>25</v>
      </c>
      <c r="C10" s="9" t="s">
        <v>26</v>
      </c>
      <c r="D10" s="10" t="n">
        <v>14</v>
      </c>
      <c r="E10" s="11" t="n">
        <v>5040</v>
      </c>
      <c r="F10" s="11" t="n">
        <v>3920</v>
      </c>
      <c r="G10" s="11" t="n">
        <v>1120</v>
      </c>
      <c r="H10" s="8" t="n">
        <v>0.222222222222222</v>
      </c>
      <c r="I10" s="11" t="n">
        <v>80</v>
      </c>
    </row>
    <row r="11" customFormat="false" ht="15" hidden="false" customHeight="false" outlineLevel="0" collapsed="false">
      <c r="A11" s="5" t="s">
        <v>27</v>
      </c>
      <c r="B11" s="5" t="s">
        <v>28</v>
      </c>
      <c r="C11" s="5" t="s">
        <v>18</v>
      </c>
      <c r="D11" s="6" t="n">
        <v>26</v>
      </c>
      <c r="E11" s="7" t="n">
        <v>4160</v>
      </c>
      <c r="F11" s="7" t="n">
        <v>3120</v>
      </c>
      <c r="G11" s="7" t="n">
        <v>1040</v>
      </c>
      <c r="H11" s="8" t="n">
        <v>0.25</v>
      </c>
      <c r="I11" s="7" t="n">
        <v>40</v>
      </c>
    </row>
    <row r="12" customFormat="false" ht="15" hidden="false" customHeight="false" outlineLevel="0" collapsed="false">
      <c r="A12" s="9" t="s">
        <v>29</v>
      </c>
      <c r="B12" s="9" t="s">
        <v>30</v>
      </c>
      <c r="C12" s="9" t="s">
        <v>31</v>
      </c>
      <c r="D12" s="10" t="n">
        <v>16</v>
      </c>
      <c r="E12" s="11" t="n">
        <v>3520</v>
      </c>
      <c r="F12" s="11" t="n">
        <v>2880</v>
      </c>
      <c r="G12" s="11" t="n">
        <v>640</v>
      </c>
      <c r="H12" s="12" t="n">
        <v>0.181818181818182</v>
      </c>
      <c r="I12" s="11" t="n">
        <v>40</v>
      </c>
    </row>
    <row r="13" customFormat="false" ht="15" hidden="false" customHeight="false" outlineLevel="0" collapsed="false">
      <c r="A13" s="5" t="s">
        <v>32</v>
      </c>
      <c r="B13" s="5" t="s">
        <v>33</v>
      </c>
      <c r="C13" s="5" t="s">
        <v>26</v>
      </c>
      <c r="D13" s="6" t="n">
        <v>9</v>
      </c>
      <c r="E13" s="7" t="n">
        <v>1080</v>
      </c>
      <c r="F13" s="7" t="n">
        <v>828</v>
      </c>
      <c r="G13" s="7" t="n">
        <v>252</v>
      </c>
      <c r="H13" s="8" t="n">
        <v>0.233333333333333</v>
      </c>
      <c r="I13" s="7" t="n">
        <v>28</v>
      </c>
    </row>
    <row r="14" customFormat="false" ht="15" hidden="false" customHeight="false" outlineLevel="0" collapsed="false">
      <c r="A14" s="9" t="s">
        <v>34</v>
      </c>
      <c r="B14" s="9" t="s">
        <v>35</v>
      </c>
      <c r="C14" s="9" t="s">
        <v>31</v>
      </c>
      <c r="D14" s="10" t="n">
        <v>11</v>
      </c>
      <c r="E14" s="11" t="n">
        <v>1045</v>
      </c>
      <c r="F14" s="11" t="n">
        <v>825</v>
      </c>
      <c r="G14" s="11" t="n">
        <v>220</v>
      </c>
      <c r="H14" s="8" t="n">
        <v>0.210526315789474</v>
      </c>
      <c r="I14" s="11" t="n">
        <v>20</v>
      </c>
    </row>
    <row r="15" customFormat="false" ht="15" hidden="false" customHeight="false" outlineLevel="0" collapsed="false">
      <c r="A15" s="5" t="s">
        <v>36</v>
      </c>
      <c r="B15" s="5" t="s">
        <v>37</v>
      </c>
      <c r="C15" s="5" t="s">
        <v>38</v>
      </c>
      <c r="D15" s="6" t="n">
        <v>4</v>
      </c>
      <c r="E15" s="7" t="n">
        <v>920</v>
      </c>
      <c r="F15" s="7" t="n">
        <v>728</v>
      </c>
      <c r="G15" s="7" t="n">
        <v>192</v>
      </c>
      <c r="H15" s="8" t="n">
        <v>0.208695652173913</v>
      </c>
      <c r="I15" s="7" t="n">
        <v>48</v>
      </c>
    </row>
    <row r="16" customFormat="false" ht="11.9" hidden="false" customHeight="false" outlineLevel="0" collapsed="false">
      <c r="A16" s="9" t="s">
        <v>39</v>
      </c>
      <c r="B16" s="9" t="s">
        <v>40</v>
      </c>
      <c r="C16" s="9" t="s">
        <v>13</v>
      </c>
      <c r="D16" s="10" t="n">
        <v>9</v>
      </c>
      <c r="E16" s="11" t="n">
        <v>675</v>
      </c>
      <c r="F16" s="11" t="n">
        <v>495</v>
      </c>
      <c r="G16" s="11" t="n">
        <v>180</v>
      </c>
      <c r="H16" s="8" t="n">
        <v>0.266666666666667</v>
      </c>
      <c r="I16" s="11" t="n">
        <v>20</v>
      </c>
    </row>
    <row r="17" customFormat="false" ht="15" hidden="false" customHeight="false" outlineLevel="0" collapsed="false">
      <c r="A17" s="13" t="s">
        <v>41</v>
      </c>
      <c r="B17" s="14"/>
      <c r="C17" s="14"/>
      <c r="D17" s="15" t="n">
        <f aca="false">SUM(D5:D16)</f>
        <v>189</v>
      </c>
      <c r="E17" s="16" t="n">
        <f aca="false">SUM(E5:E16)</f>
        <v>59840</v>
      </c>
      <c r="F17" s="16" t="n">
        <f aca="false">SUM(F5:F16)</f>
        <v>45666</v>
      </c>
      <c r="G17" s="16" t="n">
        <f aca="false">SUM(G5:G16)</f>
        <v>14174</v>
      </c>
      <c r="H17" s="17" t="n">
        <f aca="false">IFERROR(G17/E17,0)</f>
        <v>0.236864973262032</v>
      </c>
      <c r="I17" s="1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62C9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1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18" t="s">
        <v>43</v>
      </c>
      <c r="C4" s="18" t="s">
        <v>44</v>
      </c>
      <c r="D4" s="4" t="s">
        <v>5</v>
      </c>
      <c r="E4" s="4" t="s">
        <v>45</v>
      </c>
      <c r="F4" s="4" t="s">
        <v>6</v>
      </c>
      <c r="G4" s="4" t="s">
        <v>46</v>
      </c>
    </row>
    <row r="5" customFormat="false" ht="15" hidden="false" customHeight="false" outlineLevel="0" collapsed="false">
      <c r="A5" s="5" t="s">
        <v>11</v>
      </c>
      <c r="B5" s="19" t="s">
        <v>47</v>
      </c>
      <c r="C5" s="19" t="s">
        <v>48</v>
      </c>
      <c r="D5" s="6" t="n">
        <v>128</v>
      </c>
      <c r="E5" s="7" t="n">
        <v>480</v>
      </c>
      <c r="F5" s="7" t="n">
        <v>61440</v>
      </c>
      <c r="G5" s="7" t="n">
        <v>165</v>
      </c>
    </row>
    <row r="6" customFormat="false" ht="15" hidden="false" customHeight="false" outlineLevel="0" collapsed="false">
      <c r="A6" s="9" t="s">
        <v>24</v>
      </c>
      <c r="B6" s="20" t="s">
        <v>49</v>
      </c>
      <c r="C6" s="20" t="s">
        <v>48</v>
      </c>
      <c r="D6" s="10" t="n">
        <v>86</v>
      </c>
      <c r="E6" s="11" t="n">
        <v>360</v>
      </c>
      <c r="F6" s="11" t="n">
        <v>30960</v>
      </c>
      <c r="G6" s="11" t="n">
        <v>80</v>
      </c>
    </row>
    <row r="7" customFormat="false" ht="15" hidden="false" customHeight="false" outlineLevel="0" collapsed="false">
      <c r="A7" s="5" t="s">
        <v>50</v>
      </c>
      <c r="B7" s="19" t="s">
        <v>51</v>
      </c>
      <c r="C7" s="19" t="s">
        <v>52</v>
      </c>
      <c r="D7" s="6" t="n">
        <v>240</v>
      </c>
      <c r="E7" s="7" t="n">
        <v>120</v>
      </c>
      <c r="F7" s="7" t="n">
        <v>28800</v>
      </c>
      <c r="G7" s="7" t="n">
        <v>28</v>
      </c>
    </row>
    <row r="8" customFormat="false" ht="15" hidden="false" customHeight="false" outlineLevel="0" collapsed="false">
      <c r="A8" s="9" t="s">
        <v>14</v>
      </c>
      <c r="B8" s="20" t="s">
        <v>47</v>
      </c>
      <c r="C8" s="20" t="s">
        <v>48</v>
      </c>
      <c r="D8" s="10" t="n">
        <v>64</v>
      </c>
      <c r="E8" s="11" t="n">
        <v>520</v>
      </c>
      <c r="F8" s="11" t="n">
        <v>33280</v>
      </c>
      <c r="G8" s="11" t="n">
        <v>108</v>
      </c>
    </row>
    <row r="9" customFormat="false" ht="15" hidden="false" customHeight="false" outlineLevel="0" collapsed="false">
      <c r="A9" s="5" t="s">
        <v>39</v>
      </c>
      <c r="B9" s="19" t="s">
        <v>53</v>
      </c>
      <c r="C9" s="19" t="s">
        <v>52</v>
      </c>
      <c r="D9" s="6" t="n">
        <v>180</v>
      </c>
      <c r="E9" s="7" t="n">
        <v>75</v>
      </c>
      <c r="F9" s="7" t="n">
        <v>13500</v>
      </c>
      <c r="G9" s="7" t="n">
        <v>20</v>
      </c>
    </row>
    <row r="10" customFormat="false" ht="15" hidden="false" customHeight="false" outlineLevel="0" collapsed="false">
      <c r="A10" s="9" t="s">
        <v>54</v>
      </c>
      <c r="B10" s="20" t="s">
        <v>55</v>
      </c>
      <c r="C10" s="20" t="s">
        <v>48</v>
      </c>
      <c r="D10" s="10" t="n">
        <v>96</v>
      </c>
      <c r="E10" s="11" t="n">
        <v>230</v>
      </c>
      <c r="F10" s="11" t="n">
        <v>22080</v>
      </c>
      <c r="G10" s="11" t="n">
        <v>48</v>
      </c>
    </row>
    <row r="11" customFormat="false" ht="15" hidden="false" customHeight="false" outlineLevel="0" collapsed="false">
      <c r="A11" s="5" t="s">
        <v>29</v>
      </c>
      <c r="B11" s="19" t="s">
        <v>56</v>
      </c>
      <c r="C11" s="19" t="s">
        <v>57</v>
      </c>
      <c r="D11" s="6" t="n">
        <v>42</v>
      </c>
      <c r="E11" s="7" t="n">
        <v>220</v>
      </c>
      <c r="F11" s="7" t="n">
        <v>9240</v>
      </c>
      <c r="G11" s="7" t="n">
        <v>40</v>
      </c>
    </row>
    <row r="12" customFormat="false" ht="15" hidden="false" customHeight="false" outlineLevel="0" collapsed="false">
      <c r="A12" s="9" t="s">
        <v>16</v>
      </c>
      <c r="B12" s="20" t="s">
        <v>58</v>
      </c>
      <c r="C12" s="20" t="s">
        <v>59</v>
      </c>
      <c r="D12" s="10" t="n">
        <v>18</v>
      </c>
      <c r="E12" s="11" t="n">
        <v>820</v>
      </c>
      <c r="F12" s="11" t="n">
        <v>14760</v>
      </c>
      <c r="G12" s="11" t="n">
        <v>170</v>
      </c>
    </row>
    <row r="13" customFormat="false" ht="15" hidden="false" customHeight="false" outlineLevel="0" collapsed="false">
      <c r="A13" s="5" t="s">
        <v>34</v>
      </c>
      <c r="B13" s="19" t="s">
        <v>56</v>
      </c>
      <c r="C13" s="19" t="s">
        <v>57</v>
      </c>
      <c r="D13" s="6" t="n">
        <v>74</v>
      </c>
      <c r="E13" s="7" t="n">
        <v>95</v>
      </c>
      <c r="F13" s="7" t="n">
        <v>7030</v>
      </c>
      <c r="G13" s="7" t="n">
        <v>20</v>
      </c>
    </row>
    <row r="14" customFormat="false" ht="11.9" hidden="false" customHeight="false" outlineLevel="0" collapsed="false">
      <c r="A14" s="9" t="s">
        <v>19</v>
      </c>
      <c r="B14" s="20" t="s">
        <v>60</v>
      </c>
      <c r="C14" s="20" t="s">
        <v>52</v>
      </c>
      <c r="D14" s="10" t="n">
        <v>38</v>
      </c>
      <c r="E14" s="11" t="n">
        <v>310</v>
      </c>
      <c r="F14" s="11" t="n">
        <v>11780</v>
      </c>
      <c r="G14" s="11" t="n">
        <v>70</v>
      </c>
    </row>
    <row r="15" customFormat="false" ht="15" hidden="false" customHeight="false" outlineLevel="0" collapsed="false">
      <c r="A15" s="13" t="s">
        <v>41</v>
      </c>
      <c r="B15" s="14"/>
      <c r="C15" s="14"/>
      <c r="D15" s="15" t="n">
        <f aca="false">SUM(D5:D14)</f>
        <v>966</v>
      </c>
      <c r="E15" s="14"/>
      <c r="F15" s="16" t="n">
        <f aca="false">SUM(F5:F14)</f>
        <v>232870</v>
      </c>
      <c r="G15" s="14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5" hidden="false" customHeight="true" outlineLevel="0" collapsed="false">
      <c r="A1" s="1" t="s">
        <v>61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21" t="s">
        <v>62</v>
      </c>
      <c r="B4" s="21"/>
      <c r="C4" s="21"/>
      <c r="D4" s="21"/>
    </row>
    <row r="5" customFormat="false" ht="15" hidden="false" customHeight="false" outlineLevel="0" collapsed="false">
      <c r="A5" s="3" t="s">
        <v>63</v>
      </c>
      <c r="B5" s="3" t="s">
        <v>64</v>
      </c>
      <c r="C5" s="4" t="s">
        <v>65</v>
      </c>
      <c r="D5" s="3" t="s">
        <v>66</v>
      </c>
    </row>
    <row r="6" customFormat="false" ht="15" hidden="false" customHeight="false" outlineLevel="0" collapsed="false">
      <c r="A6" s="5" t="s">
        <v>67</v>
      </c>
      <c r="B6" s="5" t="s">
        <v>68</v>
      </c>
      <c r="C6" s="7" t="n">
        <v>142500</v>
      </c>
      <c r="D6" s="5"/>
    </row>
    <row r="7" customFormat="false" ht="15" hidden="false" customHeight="false" outlineLevel="0" collapsed="false">
      <c r="A7" s="9" t="s">
        <v>69</v>
      </c>
      <c r="B7" s="9" t="s">
        <v>70</v>
      </c>
      <c r="C7" s="11" t="n">
        <v>98200</v>
      </c>
      <c r="D7" s="9"/>
    </row>
    <row r="8" customFormat="false" ht="15" hidden="false" customHeight="false" outlineLevel="0" collapsed="false">
      <c r="A8" s="5" t="s">
        <v>71</v>
      </c>
      <c r="B8" s="5" t="s">
        <v>70</v>
      </c>
      <c r="C8" s="7" t="n">
        <v>62400</v>
      </c>
      <c r="D8" s="5"/>
    </row>
    <row r="9" customFormat="false" ht="15" hidden="false" customHeight="false" outlineLevel="0" collapsed="false">
      <c r="A9" s="9" t="s">
        <v>72</v>
      </c>
      <c r="B9" s="9" t="s">
        <v>73</v>
      </c>
      <c r="C9" s="11" t="n">
        <v>89300</v>
      </c>
      <c r="D9" s="9"/>
    </row>
    <row r="10" customFormat="false" ht="15" hidden="false" customHeight="false" outlineLevel="0" collapsed="false">
      <c r="A10" s="5" t="s">
        <v>74</v>
      </c>
      <c r="B10" s="5" t="s">
        <v>68</v>
      </c>
      <c r="C10" s="7" t="n">
        <v>8400</v>
      </c>
      <c r="D10" s="5"/>
    </row>
    <row r="11" customFormat="false" ht="15" hidden="false" customHeight="false" outlineLevel="0" collapsed="false">
      <c r="A11" s="22" t="s">
        <v>75</v>
      </c>
      <c r="B11" s="23"/>
      <c r="C11" s="24" t="n">
        <f aca="false">SUM(C6:C10)</f>
        <v>400800</v>
      </c>
      <c r="D11" s="23"/>
    </row>
    <row r="13" customFormat="false" ht="18" hidden="false" customHeight="true" outlineLevel="0" collapsed="false">
      <c r="A13" s="25" t="s">
        <v>76</v>
      </c>
      <c r="B13" s="25"/>
      <c r="C13" s="25"/>
      <c r="D13" s="25"/>
    </row>
    <row r="14" customFormat="false" ht="15" hidden="false" customHeight="false" outlineLevel="0" collapsed="false">
      <c r="A14" s="3" t="s">
        <v>63</v>
      </c>
      <c r="B14" s="3" t="s">
        <v>64</v>
      </c>
      <c r="C14" s="4" t="s">
        <v>65</v>
      </c>
      <c r="D14" s="3" t="s">
        <v>66</v>
      </c>
    </row>
    <row r="15" customFormat="false" ht="15" hidden="false" customHeight="false" outlineLevel="0" collapsed="false">
      <c r="A15" s="5" t="s">
        <v>77</v>
      </c>
      <c r="B15" s="5" t="s">
        <v>78</v>
      </c>
      <c r="C15" s="7" t="n">
        <v>50962</v>
      </c>
      <c r="D15" s="5"/>
    </row>
    <row r="16" customFormat="false" ht="15" hidden="false" customHeight="false" outlineLevel="0" collapsed="false">
      <c r="A16" s="9" t="s">
        <v>79</v>
      </c>
      <c r="B16" s="9" t="s">
        <v>80</v>
      </c>
      <c r="C16" s="11" t="n">
        <v>28000</v>
      </c>
      <c r="D16" s="9"/>
    </row>
    <row r="17" customFormat="false" ht="15" hidden="false" customHeight="false" outlineLevel="0" collapsed="false">
      <c r="A17" s="5" t="s">
        <v>81</v>
      </c>
      <c r="B17" s="5" t="s">
        <v>80</v>
      </c>
      <c r="C17" s="7" t="n">
        <v>15000</v>
      </c>
      <c r="D17" s="5"/>
    </row>
    <row r="18" customFormat="false" ht="15" hidden="false" customHeight="false" outlineLevel="0" collapsed="false">
      <c r="A18" s="9" t="s">
        <v>82</v>
      </c>
      <c r="B18" s="9" t="s">
        <v>80</v>
      </c>
      <c r="C18" s="11" t="n">
        <v>3200</v>
      </c>
      <c r="D18" s="9"/>
    </row>
    <row r="19" customFormat="false" ht="15" hidden="false" customHeight="false" outlineLevel="0" collapsed="false">
      <c r="A19" s="5" t="s">
        <v>83</v>
      </c>
      <c r="B19" s="5" t="s">
        <v>80</v>
      </c>
      <c r="C19" s="7" t="n">
        <v>2800</v>
      </c>
      <c r="D19" s="5"/>
    </row>
    <row r="20" customFormat="false" ht="15" hidden="false" customHeight="false" outlineLevel="0" collapsed="false">
      <c r="A20" s="26" t="s">
        <v>84</v>
      </c>
      <c r="B20" s="27"/>
      <c r="C20" s="28" t="n">
        <f aca="false">SUM(C15:C19)</f>
        <v>99962</v>
      </c>
      <c r="D20" s="27"/>
    </row>
    <row r="22" customFormat="false" ht="19.5" hidden="false" customHeight="true" outlineLevel="0" collapsed="false">
      <c r="A22" s="29" t="s">
        <v>85</v>
      </c>
      <c r="B22" s="29"/>
      <c r="C22" s="29"/>
      <c r="D22" s="29"/>
    </row>
    <row r="23" customFormat="false" ht="15" hidden="false" customHeight="false" outlineLevel="0" collapsed="false">
      <c r="A23" s="14"/>
      <c r="B23" s="14"/>
      <c r="C23" s="30" t="n">
        <f aca="false">C11-C20</f>
        <v>300838</v>
      </c>
      <c r="D23" s="14"/>
    </row>
  </sheetData>
  <mergeCells count="5">
    <mergeCell ref="A1:G1"/>
    <mergeCell ref="A2:G2"/>
    <mergeCell ref="A4:D4"/>
    <mergeCell ref="A13:D13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2D2D"/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24"/>
  </cols>
  <sheetData>
    <row r="1" customFormat="false" ht="15" hidden="false" customHeight="true" outlineLevel="0" collapsed="false">
      <c r="A1" s="1" t="s">
        <v>86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87</v>
      </c>
      <c r="B4" s="3" t="s">
        <v>3</v>
      </c>
      <c r="C4" s="3" t="s">
        <v>88</v>
      </c>
      <c r="D4" s="4" t="s">
        <v>89</v>
      </c>
      <c r="E4" s="4" t="s">
        <v>90</v>
      </c>
      <c r="F4" s="3" t="s">
        <v>66</v>
      </c>
    </row>
    <row r="5" customFormat="false" ht="15" hidden="false" customHeight="false" outlineLevel="0" collapsed="false">
      <c r="A5" s="5" t="s">
        <v>91</v>
      </c>
      <c r="B5" s="5" t="s">
        <v>92</v>
      </c>
      <c r="C5" s="5" t="s">
        <v>18</v>
      </c>
      <c r="D5" s="7" t="n">
        <v>890</v>
      </c>
      <c r="E5" s="7" t="n">
        <v>700</v>
      </c>
      <c r="F5" s="5" t="s">
        <v>93</v>
      </c>
    </row>
    <row r="6" customFormat="false" ht="15" hidden="false" customHeight="false" outlineLevel="0" collapsed="false">
      <c r="A6" s="9" t="s">
        <v>94</v>
      </c>
      <c r="B6" s="9" t="s">
        <v>95</v>
      </c>
      <c r="C6" s="9" t="s">
        <v>13</v>
      </c>
      <c r="D6" s="11" t="n">
        <v>320</v>
      </c>
      <c r="E6" s="11" t="n">
        <v>240</v>
      </c>
      <c r="F6" s="9" t="s">
        <v>96</v>
      </c>
    </row>
    <row r="7" customFormat="false" ht="15" hidden="false" customHeight="false" outlineLevel="0" collapsed="false">
      <c r="A7" s="5" t="s">
        <v>97</v>
      </c>
      <c r="B7" s="5" t="s">
        <v>98</v>
      </c>
      <c r="C7" s="5" t="s">
        <v>21</v>
      </c>
      <c r="D7" s="7" t="n">
        <v>180</v>
      </c>
      <c r="E7" s="7" t="n">
        <v>130</v>
      </c>
      <c r="F7" s="5" t="s">
        <v>93</v>
      </c>
    </row>
    <row r="8" customFormat="false" ht="11.9" hidden="false" customHeight="false" outlineLevel="0" collapsed="false">
      <c r="A8" s="31" t="s">
        <v>99</v>
      </c>
      <c r="B8" s="31"/>
      <c r="C8" s="31"/>
      <c r="D8" s="31"/>
      <c r="E8" s="31"/>
      <c r="F8" s="31"/>
    </row>
  </sheetData>
  <mergeCells count="3">
    <mergeCell ref="A1:F1"/>
    <mergeCell ref="A2:F2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54F0B"/>
    <pageSetUpPr fitToPage="fals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9" min="9" style="0" width="10"/>
  </cols>
  <sheetData>
    <row r="1" customFormat="false" ht="1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18" t="s">
        <v>101</v>
      </c>
      <c r="B4" s="18" t="s">
        <v>102</v>
      </c>
      <c r="C4" s="3" t="s">
        <v>103</v>
      </c>
      <c r="D4" s="3" t="s">
        <v>104</v>
      </c>
      <c r="E4" s="3" t="s">
        <v>105</v>
      </c>
      <c r="F4" s="4" t="s">
        <v>6</v>
      </c>
      <c r="G4" s="4" t="s">
        <v>90</v>
      </c>
      <c r="H4" s="4" t="s">
        <v>106</v>
      </c>
      <c r="I4" s="4" t="s">
        <v>9</v>
      </c>
    </row>
    <row r="5" customFormat="false" ht="15" hidden="false" customHeight="false" outlineLevel="0" collapsed="false">
      <c r="A5" s="32" t="n">
        <v>46143</v>
      </c>
      <c r="B5" s="19" t="s">
        <v>107</v>
      </c>
      <c r="C5" s="5" t="s">
        <v>108</v>
      </c>
      <c r="D5" s="5" t="s">
        <v>68</v>
      </c>
      <c r="E5" s="5" t="s">
        <v>109</v>
      </c>
      <c r="F5" s="7" t="n">
        <v>1960</v>
      </c>
      <c r="G5" s="7" t="n">
        <v>1551</v>
      </c>
      <c r="H5" s="7" t="n">
        <v>409</v>
      </c>
      <c r="I5" s="33" t="n">
        <v>0.208673469387755</v>
      </c>
    </row>
    <row r="6" customFormat="false" ht="15" hidden="false" customHeight="false" outlineLevel="0" collapsed="false">
      <c r="A6" s="34" t="n">
        <v>46144</v>
      </c>
      <c r="B6" s="20" t="s">
        <v>110</v>
      </c>
      <c r="C6" s="9" t="s">
        <v>111</v>
      </c>
      <c r="D6" s="9" t="s">
        <v>112</v>
      </c>
      <c r="E6" s="9" t="s">
        <v>113</v>
      </c>
      <c r="F6" s="11" t="n">
        <v>1045</v>
      </c>
      <c r="G6" s="11" t="n">
        <v>936</v>
      </c>
      <c r="H6" s="11" t="n">
        <v>109</v>
      </c>
      <c r="I6" s="12" t="n">
        <v>0.104306220095694</v>
      </c>
    </row>
    <row r="7" customFormat="false" ht="15" hidden="false" customHeight="false" outlineLevel="0" collapsed="false">
      <c r="A7" s="32" t="n">
        <v>46144</v>
      </c>
      <c r="B7" s="19" t="s">
        <v>114</v>
      </c>
      <c r="C7" s="5" t="s">
        <v>115</v>
      </c>
      <c r="D7" s="5" t="s">
        <v>112</v>
      </c>
      <c r="E7" s="5" t="s">
        <v>116</v>
      </c>
      <c r="F7" s="7" t="n">
        <v>1035</v>
      </c>
      <c r="G7" s="7" t="n">
        <v>685</v>
      </c>
      <c r="H7" s="7" t="n">
        <v>350</v>
      </c>
      <c r="I7" s="33" t="n">
        <v>0.33816425120773</v>
      </c>
    </row>
    <row r="8" customFormat="false" ht="15" hidden="false" customHeight="false" outlineLevel="0" collapsed="false">
      <c r="A8" s="34" t="n">
        <v>46145</v>
      </c>
      <c r="B8" s="20" t="s">
        <v>117</v>
      </c>
      <c r="C8" s="9" t="s">
        <v>115</v>
      </c>
      <c r="D8" s="9" t="s">
        <v>118</v>
      </c>
      <c r="E8" s="9" t="s">
        <v>113</v>
      </c>
      <c r="F8" s="11" t="n">
        <v>1880</v>
      </c>
      <c r="G8" s="11" t="n">
        <v>1730</v>
      </c>
      <c r="H8" s="11" t="n">
        <v>150</v>
      </c>
      <c r="I8" s="12" t="n">
        <v>0.0797872340425532</v>
      </c>
    </row>
    <row r="9" customFormat="false" ht="15" hidden="false" customHeight="false" outlineLevel="0" collapsed="false">
      <c r="A9" s="32" t="n">
        <v>46145</v>
      </c>
      <c r="B9" s="19" t="s">
        <v>119</v>
      </c>
      <c r="C9" s="5" t="s">
        <v>111</v>
      </c>
      <c r="D9" s="5" t="s">
        <v>68</v>
      </c>
      <c r="E9" s="5" t="s">
        <v>116</v>
      </c>
      <c r="F9" s="7" t="n">
        <v>220</v>
      </c>
      <c r="G9" s="7" t="n">
        <v>540</v>
      </c>
      <c r="H9" s="7" t="n">
        <v>-320</v>
      </c>
      <c r="I9" s="33" t="n">
        <v>-1.45454545454546</v>
      </c>
    </row>
    <row r="10" customFormat="false" ht="15" hidden="false" customHeight="false" outlineLevel="0" collapsed="false">
      <c r="A10" s="34" t="n">
        <v>46147</v>
      </c>
      <c r="B10" s="20" t="s">
        <v>120</v>
      </c>
      <c r="C10" s="9" t="s">
        <v>121</v>
      </c>
      <c r="D10" s="9" t="s">
        <v>118</v>
      </c>
      <c r="E10" s="9" t="s">
        <v>122</v>
      </c>
      <c r="F10" s="11" t="n">
        <v>500</v>
      </c>
      <c r="G10" s="11" t="n">
        <v>585</v>
      </c>
      <c r="H10" s="11" t="n">
        <v>-85</v>
      </c>
      <c r="I10" s="12" t="n">
        <v>-0.17</v>
      </c>
    </row>
    <row r="11" customFormat="false" ht="15" hidden="false" customHeight="false" outlineLevel="0" collapsed="false">
      <c r="A11" s="32" t="n">
        <v>46147</v>
      </c>
      <c r="B11" s="19" t="s">
        <v>123</v>
      </c>
      <c r="C11" s="5" t="s">
        <v>111</v>
      </c>
      <c r="D11" s="5" t="s">
        <v>112</v>
      </c>
      <c r="E11" s="5" t="s">
        <v>113</v>
      </c>
      <c r="F11" s="7" t="n">
        <v>385</v>
      </c>
      <c r="G11" s="7" t="n">
        <v>405</v>
      </c>
      <c r="H11" s="7" t="n">
        <v>-20</v>
      </c>
      <c r="I11" s="33" t="n">
        <v>-0.051948051948052</v>
      </c>
    </row>
    <row r="12" customFormat="false" ht="15" hidden="false" customHeight="false" outlineLevel="0" collapsed="false">
      <c r="A12" s="34" t="n">
        <v>46149</v>
      </c>
      <c r="B12" s="20" t="s">
        <v>124</v>
      </c>
      <c r="C12" s="9" t="s">
        <v>108</v>
      </c>
      <c r="D12" s="9" t="s">
        <v>112</v>
      </c>
      <c r="E12" s="9" t="s">
        <v>122</v>
      </c>
      <c r="F12" s="11" t="n">
        <v>1080</v>
      </c>
      <c r="G12" s="11" t="n">
        <v>560</v>
      </c>
      <c r="H12" s="11" t="n">
        <v>520</v>
      </c>
      <c r="I12" s="12" t="n">
        <v>0.481481481481482</v>
      </c>
    </row>
    <row r="13" customFormat="false" ht="15" hidden="false" customHeight="false" outlineLevel="0" collapsed="false">
      <c r="A13" s="32" t="n">
        <v>46150</v>
      </c>
      <c r="B13" s="19" t="s">
        <v>125</v>
      </c>
      <c r="C13" s="5" t="s">
        <v>126</v>
      </c>
      <c r="D13" s="5" t="s">
        <v>112</v>
      </c>
      <c r="E13" s="5" t="s">
        <v>122</v>
      </c>
      <c r="F13" s="7" t="n">
        <v>940</v>
      </c>
      <c r="G13" s="7" t="n">
        <v>484</v>
      </c>
      <c r="H13" s="7" t="n">
        <v>456</v>
      </c>
      <c r="I13" s="33" t="n">
        <v>0.485106382978723</v>
      </c>
    </row>
    <row r="14" customFormat="false" ht="15" hidden="false" customHeight="false" outlineLevel="0" collapsed="false">
      <c r="A14" s="34" t="n">
        <v>46150</v>
      </c>
      <c r="B14" s="20" t="s">
        <v>127</v>
      </c>
      <c r="C14" s="9" t="s">
        <v>108</v>
      </c>
      <c r="D14" s="9" t="s">
        <v>118</v>
      </c>
      <c r="E14" s="9" t="s">
        <v>122</v>
      </c>
      <c r="F14" s="11" t="n">
        <v>2680</v>
      </c>
      <c r="G14" s="11" t="n">
        <v>1379</v>
      </c>
      <c r="H14" s="11" t="n">
        <v>1301</v>
      </c>
      <c r="I14" s="12" t="n">
        <v>0.48544776119403</v>
      </c>
    </row>
    <row r="15" customFormat="false" ht="15" hidden="false" customHeight="false" outlineLevel="0" collapsed="false">
      <c r="A15" s="32" t="n">
        <v>46151</v>
      </c>
      <c r="B15" s="19" t="s">
        <v>128</v>
      </c>
      <c r="C15" s="5" t="s">
        <v>121</v>
      </c>
      <c r="D15" s="5" t="s">
        <v>68</v>
      </c>
      <c r="E15" s="5" t="s">
        <v>122</v>
      </c>
      <c r="F15" s="7" t="n">
        <v>250</v>
      </c>
      <c r="G15" s="7" t="n">
        <v>585</v>
      </c>
      <c r="H15" s="7" t="n">
        <v>-335</v>
      </c>
      <c r="I15" s="33" t="n">
        <v>-1.34</v>
      </c>
    </row>
    <row r="16" customFormat="false" ht="15" hidden="false" customHeight="false" outlineLevel="0" collapsed="false">
      <c r="A16" s="34" t="n">
        <v>46151</v>
      </c>
      <c r="B16" s="20" t="s">
        <v>129</v>
      </c>
      <c r="C16" s="9" t="s">
        <v>111</v>
      </c>
      <c r="D16" s="9" t="s">
        <v>130</v>
      </c>
      <c r="E16" s="9" t="s">
        <v>116</v>
      </c>
      <c r="F16" s="11" t="n">
        <v>1095</v>
      </c>
      <c r="G16" s="11" t="n">
        <v>1460</v>
      </c>
      <c r="H16" s="11" t="n">
        <v>-365</v>
      </c>
      <c r="I16" s="12" t="n">
        <v>-0.333333333333333</v>
      </c>
    </row>
    <row r="17" customFormat="false" ht="15" hidden="false" customHeight="false" outlineLevel="0" collapsed="false">
      <c r="A17" s="32" t="n">
        <v>46151</v>
      </c>
      <c r="B17" s="19" t="s">
        <v>131</v>
      </c>
      <c r="C17" s="5" t="s">
        <v>108</v>
      </c>
      <c r="D17" s="5" t="s">
        <v>68</v>
      </c>
      <c r="E17" s="5" t="s">
        <v>113</v>
      </c>
      <c r="F17" s="7" t="n">
        <v>535</v>
      </c>
      <c r="G17" s="7" t="n">
        <v>645</v>
      </c>
      <c r="H17" s="7" t="n">
        <v>-110</v>
      </c>
      <c r="I17" s="33" t="n">
        <v>-0.205607476635514</v>
      </c>
    </row>
    <row r="18" customFormat="false" ht="15" hidden="false" customHeight="false" outlineLevel="0" collapsed="false">
      <c r="A18" s="34" t="n">
        <v>46151</v>
      </c>
      <c r="B18" s="20" t="s">
        <v>132</v>
      </c>
      <c r="C18" s="9" t="s">
        <v>121</v>
      </c>
      <c r="D18" s="9" t="s">
        <v>112</v>
      </c>
      <c r="E18" s="9" t="s">
        <v>122</v>
      </c>
      <c r="F18" s="11" t="n">
        <v>1710</v>
      </c>
      <c r="G18" s="11" t="n">
        <v>760</v>
      </c>
      <c r="H18" s="11" t="n">
        <v>950</v>
      </c>
      <c r="I18" s="12" t="n">
        <v>0.555555555555556</v>
      </c>
    </row>
    <row r="19" customFormat="false" ht="15" hidden="false" customHeight="false" outlineLevel="0" collapsed="false">
      <c r="A19" s="32" t="n">
        <v>46151</v>
      </c>
      <c r="B19" s="19" t="s">
        <v>133</v>
      </c>
      <c r="C19" s="5" t="s">
        <v>111</v>
      </c>
      <c r="D19" s="5" t="s">
        <v>68</v>
      </c>
      <c r="E19" s="5" t="s">
        <v>122</v>
      </c>
      <c r="F19" s="7" t="n">
        <v>970</v>
      </c>
      <c r="G19" s="7" t="n">
        <v>945</v>
      </c>
      <c r="H19" s="7" t="n">
        <v>25</v>
      </c>
      <c r="I19" s="33" t="n">
        <v>0.0257731958762887</v>
      </c>
    </row>
    <row r="20" customFormat="false" ht="15" hidden="false" customHeight="false" outlineLevel="0" collapsed="false">
      <c r="A20" s="34" t="n">
        <v>46152</v>
      </c>
      <c r="B20" s="20" t="s">
        <v>134</v>
      </c>
      <c r="C20" s="9" t="s">
        <v>121</v>
      </c>
      <c r="D20" s="9" t="s">
        <v>135</v>
      </c>
      <c r="E20" s="9" t="s">
        <v>109</v>
      </c>
      <c r="F20" s="11" t="n">
        <v>1240</v>
      </c>
      <c r="G20" s="11" t="n">
        <v>680</v>
      </c>
      <c r="H20" s="11" t="n">
        <v>560</v>
      </c>
      <c r="I20" s="12" t="n">
        <v>0.451612903225806</v>
      </c>
    </row>
    <row r="21" customFormat="false" ht="15" hidden="false" customHeight="false" outlineLevel="0" collapsed="false">
      <c r="A21" s="32" t="n">
        <v>46152</v>
      </c>
      <c r="B21" s="19" t="s">
        <v>136</v>
      </c>
      <c r="C21" s="5" t="s">
        <v>115</v>
      </c>
      <c r="D21" s="5" t="s">
        <v>130</v>
      </c>
      <c r="E21" s="5" t="s">
        <v>109</v>
      </c>
      <c r="F21" s="7" t="n">
        <v>2650</v>
      </c>
      <c r="G21" s="7" t="n">
        <v>1876</v>
      </c>
      <c r="H21" s="7" t="n">
        <v>774</v>
      </c>
      <c r="I21" s="33" t="n">
        <v>0.292075471698113</v>
      </c>
    </row>
    <row r="22" customFormat="false" ht="15" hidden="false" customHeight="false" outlineLevel="0" collapsed="false">
      <c r="A22" s="34" t="n">
        <v>46152</v>
      </c>
      <c r="B22" s="20" t="s">
        <v>137</v>
      </c>
      <c r="C22" s="9" t="s">
        <v>126</v>
      </c>
      <c r="D22" s="9" t="s">
        <v>130</v>
      </c>
      <c r="E22" s="9" t="s">
        <v>122</v>
      </c>
      <c r="F22" s="11" t="n">
        <v>1635</v>
      </c>
      <c r="G22" s="11" t="n">
        <v>1401</v>
      </c>
      <c r="H22" s="11" t="n">
        <v>234</v>
      </c>
      <c r="I22" s="12" t="n">
        <v>0.143119266055046</v>
      </c>
    </row>
    <row r="23" customFormat="false" ht="15" hidden="false" customHeight="false" outlineLevel="0" collapsed="false">
      <c r="A23" s="32" t="n">
        <v>46153</v>
      </c>
      <c r="B23" s="19" t="s">
        <v>138</v>
      </c>
      <c r="C23" s="5" t="s">
        <v>115</v>
      </c>
      <c r="D23" s="5" t="s">
        <v>68</v>
      </c>
      <c r="E23" s="5" t="s">
        <v>113</v>
      </c>
      <c r="F23" s="7" t="n">
        <v>440</v>
      </c>
      <c r="G23" s="7" t="n">
        <v>540</v>
      </c>
      <c r="H23" s="7" t="n">
        <v>-100</v>
      </c>
      <c r="I23" s="33" t="n">
        <v>-0.227272727272727</v>
      </c>
    </row>
    <row r="24" customFormat="false" ht="15" hidden="false" customHeight="false" outlineLevel="0" collapsed="false">
      <c r="A24" s="34" t="n">
        <v>46153</v>
      </c>
      <c r="B24" s="20" t="s">
        <v>139</v>
      </c>
      <c r="C24" s="9" t="s">
        <v>121</v>
      </c>
      <c r="D24" s="9" t="s">
        <v>68</v>
      </c>
      <c r="E24" s="9" t="s">
        <v>109</v>
      </c>
      <c r="F24" s="11" t="n">
        <v>1810</v>
      </c>
      <c r="G24" s="11" t="n">
        <v>1095</v>
      </c>
      <c r="H24" s="11" t="n">
        <v>715</v>
      </c>
      <c r="I24" s="12" t="n">
        <v>0.395027624309392</v>
      </c>
    </row>
    <row r="25" customFormat="false" ht="15" hidden="false" customHeight="false" outlineLevel="0" collapsed="false">
      <c r="A25" s="32" t="n">
        <v>46154</v>
      </c>
      <c r="B25" s="19" t="s">
        <v>140</v>
      </c>
      <c r="C25" s="5" t="s">
        <v>115</v>
      </c>
      <c r="D25" s="5" t="s">
        <v>112</v>
      </c>
      <c r="E25" s="5" t="s">
        <v>116</v>
      </c>
      <c r="F25" s="7" t="n">
        <v>1445</v>
      </c>
      <c r="G25" s="7" t="n">
        <v>1159</v>
      </c>
      <c r="H25" s="7" t="n">
        <v>286</v>
      </c>
      <c r="I25" s="33" t="n">
        <v>0.197923875432526</v>
      </c>
    </row>
    <row r="26" customFormat="false" ht="15" hidden="false" customHeight="false" outlineLevel="0" collapsed="false">
      <c r="A26" s="34" t="n">
        <v>46155</v>
      </c>
      <c r="B26" s="20" t="s">
        <v>141</v>
      </c>
      <c r="C26" s="9" t="s">
        <v>115</v>
      </c>
      <c r="D26" s="9" t="s">
        <v>68</v>
      </c>
      <c r="E26" s="9" t="s">
        <v>116</v>
      </c>
      <c r="F26" s="11" t="n">
        <v>500</v>
      </c>
      <c r="G26" s="11" t="n">
        <v>390</v>
      </c>
      <c r="H26" s="11" t="n">
        <v>110</v>
      </c>
      <c r="I26" s="12" t="n">
        <v>0.22</v>
      </c>
    </row>
    <row r="27" customFormat="false" ht="15" hidden="false" customHeight="false" outlineLevel="0" collapsed="false">
      <c r="A27" s="32" t="n">
        <v>46155</v>
      </c>
      <c r="B27" s="19" t="s">
        <v>142</v>
      </c>
      <c r="C27" s="5" t="s">
        <v>121</v>
      </c>
      <c r="D27" s="5" t="s">
        <v>68</v>
      </c>
      <c r="E27" s="5" t="s">
        <v>116</v>
      </c>
      <c r="F27" s="7" t="n">
        <v>230</v>
      </c>
      <c r="G27" s="7" t="n">
        <v>364</v>
      </c>
      <c r="H27" s="7" t="n">
        <v>-134</v>
      </c>
      <c r="I27" s="33" t="n">
        <v>-0.582608695652174</v>
      </c>
    </row>
    <row r="28" customFormat="false" ht="15" hidden="false" customHeight="false" outlineLevel="0" collapsed="false">
      <c r="A28" s="34" t="n">
        <v>46156</v>
      </c>
      <c r="B28" s="20" t="s">
        <v>143</v>
      </c>
      <c r="C28" s="9" t="s">
        <v>108</v>
      </c>
      <c r="D28" s="9" t="s">
        <v>135</v>
      </c>
      <c r="E28" s="9" t="s">
        <v>122</v>
      </c>
      <c r="F28" s="11" t="n">
        <v>335</v>
      </c>
      <c r="G28" s="11" t="n">
        <v>167</v>
      </c>
      <c r="H28" s="11" t="n">
        <v>168</v>
      </c>
      <c r="I28" s="12" t="n">
        <v>0.501492537313433</v>
      </c>
    </row>
    <row r="29" customFormat="false" ht="15" hidden="false" customHeight="false" outlineLevel="0" collapsed="false">
      <c r="A29" s="32" t="n">
        <v>46156</v>
      </c>
      <c r="B29" s="19" t="s">
        <v>144</v>
      </c>
      <c r="C29" s="5" t="s">
        <v>111</v>
      </c>
      <c r="D29" s="5" t="s">
        <v>118</v>
      </c>
      <c r="E29" s="5" t="s">
        <v>113</v>
      </c>
      <c r="F29" s="7" t="n">
        <v>4300</v>
      </c>
      <c r="G29" s="7" t="n">
        <v>2275</v>
      </c>
      <c r="H29" s="7" t="n">
        <v>2025</v>
      </c>
      <c r="I29" s="33" t="n">
        <v>0.47093023255814</v>
      </c>
    </row>
    <row r="30" customFormat="false" ht="15" hidden="false" customHeight="false" outlineLevel="0" collapsed="false">
      <c r="A30" s="34" t="n">
        <v>46156</v>
      </c>
      <c r="B30" s="20" t="s">
        <v>145</v>
      </c>
      <c r="C30" s="9" t="s">
        <v>115</v>
      </c>
      <c r="D30" s="9" t="s">
        <v>112</v>
      </c>
      <c r="E30" s="9" t="s">
        <v>109</v>
      </c>
      <c r="F30" s="11" t="n">
        <v>750</v>
      </c>
      <c r="G30" s="11" t="n">
        <v>195</v>
      </c>
      <c r="H30" s="11" t="n">
        <v>555</v>
      </c>
      <c r="I30" s="12" t="n">
        <v>0.74</v>
      </c>
    </row>
    <row r="31" customFormat="false" ht="15" hidden="false" customHeight="false" outlineLevel="0" collapsed="false">
      <c r="A31" s="32" t="n">
        <v>46156</v>
      </c>
      <c r="B31" s="19" t="s">
        <v>146</v>
      </c>
      <c r="C31" s="5" t="s">
        <v>121</v>
      </c>
      <c r="D31" s="5" t="s">
        <v>130</v>
      </c>
      <c r="E31" s="5" t="s">
        <v>116</v>
      </c>
      <c r="F31" s="7" t="n">
        <v>1170</v>
      </c>
      <c r="G31" s="7" t="n">
        <v>1560</v>
      </c>
      <c r="H31" s="7" t="n">
        <v>-390</v>
      </c>
      <c r="I31" s="33" t="n">
        <v>-0.333333333333333</v>
      </c>
    </row>
    <row r="32" customFormat="false" ht="15" hidden="false" customHeight="false" outlineLevel="0" collapsed="false">
      <c r="A32" s="34" t="n">
        <v>46157</v>
      </c>
      <c r="B32" s="20" t="s">
        <v>147</v>
      </c>
      <c r="C32" s="9" t="s">
        <v>111</v>
      </c>
      <c r="D32" s="9" t="s">
        <v>135</v>
      </c>
      <c r="E32" s="9" t="s">
        <v>109</v>
      </c>
      <c r="F32" s="11" t="n">
        <v>820</v>
      </c>
      <c r="G32" s="11" t="n">
        <v>315</v>
      </c>
      <c r="H32" s="11" t="n">
        <v>505</v>
      </c>
      <c r="I32" s="12" t="n">
        <v>0.615853658536585</v>
      </c>
    </row>
    <row r="33" customFormat="false" ht="15" hidden="false" customHeight="false" outlineLevel="0" collapsed="false">
      <c r="A33" s="32" t="n">
        <v>46157</v>
      </c>
      <c r="B33" s="19" t="s">
        <v>148</v>
      </c>
      <c r="C33" s="5" t="s">
        <v>121</v>
      </c>
      <c r="D33" s="5" t="s">
        <v>135</v>
      </c>
      <c r="E33" s="5" t="s">
        <v>109</v>
      </c>
      <c r="F33" s="7" t="n">
        <v>930</v>
      </c>
      <c r="G33" s="7" t="n">
        <v>240</v>
      </c>
      <c r="H33" s="7" t="n">
        <v>690</v>
      </c>
      <c r="I33" s="33" t="n">
        <v>0.741935483870968</v>
      </c>
    </row>
    <row r="34" customFormat="false" ht="15" hidden="false" customHeight="false" outlineLevel="0" collapsed="false">
      <c r="A34" s="34" t="n">
        <v>46157</v>
      </c>
      <c r="B34" s="20" t="s">
        <v>149</v>
      </c>
      <c r="C34" s="9" t="s">
        <v>121</v>
      </c>
      <c r="D34" s="9" t="s">
        <v>68</v>
      </c>
      <c r="E34" s="9" t="s">
        <v>109</v>
      </c>
      <c r="F34" s="11" t="n">
        <v>1005</v>
      </c>
      <c r="G34" s="11" t="n">
        <v>1065</v>
      </c>
      <c r="H34" s="11" t="n">
        <v>-60</v>
      </c>
      <c r="I34" s="12" t="n">
        <v>-0.0597014925373134</v>
      </c>
    </row>
    <row r="35" customFormat="false" ht="15" hidden="false" customHeight="false" outlineLevel="0" collapsed="false">
      <c r="A35" s="32" t="n">
        <v>46157</v>
      </c>
      <c r="B35" s="19" t="s">
        <v>150</v>
      </c>
      <c r="C35" s="5" t="s">
        <v>115</v>
      </c>
      <c r="D35" s="5" t="s">
        <v>130</v>
      </c>
      <c r="E35" s="5" t="s">
        <v>116</v>
      </c>
      <c r="F35" s="7" t="n">
        <v>1890</v>
      </c>
      <c r="G35" s="7" t="n">
        <v>2320</v>
      </c>
      <c r="H35" s="7" t="n">
        <v>-430</v>
      </c>
      <c r="I35" s="33" t="n">
        <v>-0.227513227513228</v>
      </c>
    </row>
    <row r="36" customFormat="false" ht="15" hidden="false" customHeight="false" outlineLevel="0" collapsed="false">
      <c r="A36" s="34" t="n">
        <v>46158</v>
      </c>
      <c r="B36" s="20" t="s">
        <v>151</v>
      </c>
      <c r="C36" s="9" t="s">
        <v>126</v>
      </c>
      <c r="D36" s="9" t="s">
        <v>68</v>
      </c>
      <c r="E36" s="9" t="s">
        <v>116</v>
      </c>
      <c r="F36" s="11" t="n">
        <v>1080</v>
      </c>
      <c r="G36" s="11" t="n">
        <v>916</v>
      </c>
      <c r="H36" s="11" t="n">
        <v>164</v>
      </c>
      <c r="I36" s="12" t="n">
        <v>0.151851851851852</v>
      </c>
    </row>
    <row r="37" customFormat="false" ht="15" hidden="false" customHeight="false" outlineLevel="0" collapsed="false">
      <c r="A37" s="32" t="n">
        <v>46159</v>
      </c>
      <c r="B37" s="19" t="s">
        <v>152</v>
      </c>
      <c r="C37" s="5" t="s">
        <v>121</v>
      </c>
      <c r="D37" s="5" t="s">
        <v>135</v>
      </c>
      <c r="E37" s="5" t="s">
        <v>113</v>
      </c>
      <c r="F37" s="7" t="n">
        <v>1410</v>
      </c>
      <c r="G37" s="7" t="n">
        <v>480</v>
      </c>
      <c r="H37" s="7" t="n">
        <v>930</v>
      </c>
      <c r="I37" s="33" t="n">
        <v>0.659574468085106</v>
      </c>
    </row>
    <row r="38" customFormat="false" ht="15" hidden="false" customHeight="false" outlineLevel="0" collapsed="false">
      <c r="A38" s="34" t="n">
        <v>46160</v>
      </c>
      <c r="B38" s="20" t="s">
        <v>153</v>
      </c>
      <c r="C38" s="9" t="s">
        <v>111</v>
      </c>
      <c r="D38" s="9" t="s">
        <v>68</v>
      </c>
      <c r="E38" s="9" t="s">
        <v>122</v>
      </c>
      <c r="F38" s="11" t="n">
        <v>360</v>
      </c>
      <c r="G38" s="11" t="n">
        <v>280</v>
      </c>
      <c r="H38" s="11" t="n">
        <v>80</v>
      </c>
      <c r="I38" s="12" t="n">
        <v>0.222222222222222</v>
      </c>
    </row>
    <row r="39" customFormat="false" ht="15" hidden="false" customHeight="false" outlineLevel="0" collapsed="false">
      <c r="A39" s="32" t="n">
        <v>46160</v>
      </c>
      <c r="B39" s="19" t="s">
        <v>154</v>
      </c>
      <c r="C39" s="5" t="s">
        <v>111</v>
      </c>
      <c r="D39" s="5" t="s">
        <v>118</v>
      </c>
      <c r="E39" s="5" t="s">
        <v>109</v>
      </c>
      <c r="F39" s="7" t="n">
        <v>1400</v>
      </c>
      <c r="G39" s="7" t="n">
        <v>495</v>
      </c>
      <c r="H39" s="7" t="n">
        <v>905</v>
      </c>
      <c r="I39" s="33" t="n">
        <v>0.646428571428572</v>
      </c>
    </row>
    <row r="40" customFormat="false" ht="15" hidden="false" customHeight="false" outlineLevel="0" collapsed="false">
      <c r="A40" s="34" t="n">
        <v>46160</v>
      </c>
      <c r="B40" s="20" t="s">
        <v>155</v>
      </c>
      <c r="C40" s="9" t="s">
        <v>115</v>
      </c>
      <c r="D40" s="9" t="s">
        <v>118</v>
      </c>
      <c r="E40" s="9" t="s">
        <v>113</v>
      </c>
      <c r="F40" s="11" t="n">
        <v>3390</v>
      </c>
      <c r="G40" s="11" t="n">
        <v>2430</v>
      </c>
      <c r="H40" s="11" t="n">
        <v>960</v>
      </c>
      <c r="I40" s="12" t="n">
        <v>0.283185840707965</v>
      </c>
    </row>
    <row r="41" customFormat="false" ht="15" hidden="false" customHeight="false" outlineLevel="0" collapsed="false">
      <c r="A41" s="32" t="n">
        <v>46161</v>
      </c>
      <c r="B41" s="19" t="s">
        <v>156</v>
      </c>
      <c r="C41" s="5" t="s">
        <v>115</v>
      </c>
      <c r="D41" s="5" t="s">
        <v>112</v>
      </c>
      <c r="E41" s="5" t="s">
        <v>116</v>
      </c>
      <c r="F41" s="7" t="n">
        <v>1715</v>
      </c>
      <c r="G41" s="7" t="n">
        <v>2461</v>
      </c>
      <c r="H41" s="7" t="n">
        <v>-746</v>
      </c>
      <c r="I41" s="33" t="n">
        <v>-0.434985422740525</v>
      </c>
    </row>
    <row r="42" customFormat="false" ht="15" hidden="false" customHeight="false" outlineLevel="0" collapsed="false">
      <c r="A42" s="34" t="n">
        <v>46161</v>
      </c>
      <c r="B42" s="20" t="s">
        <v>157</v>
      </c>
      <c r="C42" s="9" t="s">
        <v>121</v>
      </c>
      <c r="D42" s="9" t="s">
        <v>68</v>
      </c>
      <c r="E42" s="9" t="s">
        <v>113</v>
      </c>
      <c r="F42" s="11" t="n">
        <v>245</v>
      </c>
      <c r="G42" s="11" t="n">
        <v>130</v>
      </c>
      <c r="H42" s="11" t="n">
        <v>115</v>
      </c>
      <c r="I42" s="12" t="n">
        <v>0.469387755102041</v>
      </c>
    </row>
    <row r="43" customFormat="false" ht="15" hidden="false" customHeight="false" outlineLevel="0" collapsed="false">
      <c r="A43" s="32" t="n">
        <v>46162</v>
      </c>
      <c r="B43" s="19" t="s">
        <v>158</v>
      </c>
      <c r="C43" s="5" t="s">
        <v>108</v>
      </c>
      <c r="D43" s="5" t="s">
        <v>118</v>
      </c>
      <c r="E43" s="5" t="s">
        <v>116</v>
      </c>
      <c r="F43" s="7" t="n">
        <v>575</v>
      </c>
      <c r="G43" s="7" t="n">
        <v>390</v>
      </c>
      <c r="H43" s="7" t="n">
        <v>185</v>
      </c>
      <c r="I43" s="33" t="n">
        <v>0.321739130434783</v>
      </c>
    </row>
    <row r="44" customFormat="false" ht="15" hidden="false" customHeight="false" outlineLevel="0" collapsed="false">
      <c r="A44" s="34" t="n">
        <v>46162</v>
      </c>
      <c r="B44" s="20" t="s">
        <v>159</v>
      </c>
      <c r="C44" s="9" t="s">
        <v>126</v>
      </c>
      <c r="D44" s="9" t="s">
        <v>112</v>
      </c>
      <c r="E44" s="9" t="s">
        <v>113</v>
      </c>
      <c r="F44" s="11" t="n">
        <v>800</v>
      </c>
      <c r="G44" s="11" t="n">
        <v>1276</v>
      </c>
      <c r="H44" s="11" t="n">
        <v>-476</v>
      </c>
      <c r="I44" s="12" t="n">
        <v>-0.595</v>
      </c>
    </row>
    <row r="45" customFormat="false" ht="15" hidden="false" customHeight="false" outlineLevel="0" collapsed="false">
      <c r="A45" s="32" t="n">
        <v>46163</v>
      </c>
      <c r="B45" s="19" t="s">
        <v>160</v>
      </c>
      <c r="C45" s="5" t="s">
        <v>108</v>
      </c>
      <c r="D45" s="5" t="s">
        <v>68</v>
      </c>
      <c r="E45" s="5" t="s">
        <v>113</v>
      </c>
      <c r="F45" s="7" t="n">
        <v>1680</v>
      </c>
      <c r="G45" s="7" t="n">
        <v>1512</v>
      </c>
      <c r="H45" s="7" t="n">
        <v>168</v>
      </c>
      <c r="I45" s="33" t="n">
        <v>0.1</v>
      </c>
    </row>
    <row r="46" customFormat="false" ht="15" hidden="false" customHeight="false" outlineLevel="0" collapsed="false">
      <c r="A46" s="34" t="n">
        <v>46163</v>
      </c>
      <c r="B46" s="20" t="s">
        <v>161</v>
      </c>
      <c r="C46" s="9" t="s">
        <v>115</v>
      </c>
      <c r="D46" s="9" t="s">
        <v>112</v>
      </c>
      <c r="E46" s="9" t="s">
        <v>122</v>
      </c>
      <c r="F46" s="11" t="n">
        <v>2555</v>
      </c>
      <c r="G46" s="11" t="n">
        <v>3891</v>
      </c>
      <c r="H46" s="11" t="n">
        <v>-1336</v>
      </c>
      <c r="I46" s="12" t="n">
        <v>-0.522896281800391</v>
      </c>
    </row>
    <row r="47" customFormat="false" ht="15" hidden="false" customHeight="false" outlineLevel="0" collapsed="false">
      <c r="A47" s="32" t="n">
        <v>46164</v>
      </c>
      <c r="B47" s="19" t="s">
        <v>162</v>
      </c>
      <c r="C47" s="5" t="s">
        <v>108</v>
      </c>
      <c r="D47" s="5" t="s">
        <v>135</v>
      </c>
      <c r="E47" s="5" t="s">
        <v>109</v>
      </c>
      <c r="F47" s="7" t="n">
        <v>150</v>
      </c>
      <c r="G47" s="7" t="n">
        <v>55</v>
      </c>
      <c r="H47" s="7" t="n">
        <v>95</v>
      </c>
      <c r="I47" s="33" t="n">
        <v>0.633333333333333</v>
      </c>
    </row>
    <row r="48" customFormat="false" ht="15" hidden="false" customHeight="false" outlineLevel="0" collapsed="false">
      <c r="A48" s="34" t="n">
        <v>46164</v>
      </c>
      <c r="B48" s="20" t="s">
        <v>163</v>
      </c>
      <c r="C48" s="9" t="s">
        <v>108</v>
      </c>
      <c r="D48" s="9" t="s">
        <v>135</v>
      </c>
      <c r="E48" s="9" t="s">
        <v>109</v>
      </c>
      <c r="F48" s="11" t="n">
        <v>750</v>
      </c>
      <c r="G48" s="11" t="n">
        <v>660</v>
      </c>
      <c r="H48" s="11" t="n">
        <v>90</v>
      </c>
      <c r="I48" s="12" t="n">
        <v>0.12</v>
      </c>
    </row>
    <row r="49" customFormat="false" ht="15" hidden="false" customHeight="false" outlineLevel="0" collapsed="false">
      <c r="A49" s="32" t="n">
        <v>46164</v>
      </c>
      <c r="B49" s="19" t="s">
        <v>164</v>
      </c>
      <c r="C49" s="5" t="s">
        <v>108</v>
      </c>
      <c r="D49" s="5" t="s">
        <v>112</v>
      </c>
      <c r="E49" s="5" t="s">
        <v>122</v>
      </c>
      <c r="F49" s="7" t="n">
        <v>960</v>
      </c>
      <c r="G49" s="7" t="n">
        <v>945</v>
      </c>
      <c r="H49" s="7" t="n">
        <v>15</v>
      </c>
      <c r="I49" s="33" t="n">
        <v>0.015625</v>
      </c>
    </row>
    <row r="50" customFormat="false" ht="15" hidden="false" customHeight="false" outlineLevel="0" collapsed="false">
      <c r="A50" s="34" t="n">
        <v>46164</v>
      </c>
      <c r="B50" s="20" t="s">
        <v>165</v>
      </c>
      <c r="C50" s="9" t="s">
        <v>108</v>
      </c>
      <c r="D50" s="9" t="s">
        <v>118</v>
      </c>
      <c r="E50" s="9" t="s">
        <v>113</v>
      </c>
      <c r="F50" s="11" t="n">
        <v>1300</v>
      </c>
      <c r="G50" s="11" t="n">
        <v>2274</v>
      </c>
      <c r="H50" s="11" t="n">
        <v>-974</v>
      </c>
      <c r="I50" s="12" t="n">
        <v>-0.749230769230769</v>
      </c>
    </row>
    <row r="51" customFormat="false" ht="15" hidden="false" customHeight="false" outlineLevel="0" collapsed="false">
      <c r="A51" s="32" t="n">
        <v>46165</v>
      </c>
      <c r="B51" s="19" t="s">
        <v>166</v>
      </c>
      <c r="C51" s="5" t="s">
        <v>121</v>
      </c>
      <c r="D51" s="5" t="s">
        <v>68</v>
      </c>
      <c r="E51" s="5" t="s">
        <v>116</v>
      </c>
      <c r="F51" s="7" t="n">
        <v>1880</v>
      </c>
      <c r="G51" s="7" t="n">
        <v>2226</v>
      </c>
      <c r="H51" s="7" t="n">
        <v>-346</v>
      </c>
      <c r="I51" s="33" t="n">
        <v>-0.184042553191489</v>
      </c>
    </row>
    <row r="52" customFormat="false" ht="15" hidden="false" customHeight="false" outlineLevel="0" collapsed="false">
      <c r="A52" s="34" t="n">
        <v>46165</v>
      </c>
      <c r="B52" s="20" t="s">
        <v>167</v>
      </c>
      <c r="C52" s="9" t="s">
        <v>111</v>
      </c>
      <c r="D52" s="9" t="s">
        <v>130</v>
      </c>
      <c r="E52" s="9" t="s">
        <v>113</v>
      </c>
      <c r="F52" s="11" t="n">
        <v>160</v>
      </c>
      <c r="G52" s="11" t="n">
        <v>360</v>
      </c>
      <c r="H52" s="11" t="n">
        <v>-200</v>
      </c>
      <c r="I52" s="12" t="n">
        <v>-1.25</v>
      </c>
    </row>
    <row r="53" customFormat="false" ht="15" hidden="false" customHeight="false" outlineLevel="0" collapsed="false">
      <c r="A53" s="32" t="n">
        <v>46166</v>
      </c>
      <c r="B53" s="19" t="s">
        <v>168</v>
      </c>
      <c r="C53" s="5" t="s">
        <v>126</v>
      </c>
      <c r="D53" s="5" t="s">
        <v>112</v>
      </c>
      <c r="E53" s="5" t="s">
        <v>113</v>
      </c>
      <c r="F53" s="7" t="n">
        <v>1135</v>
      </c>
      <c r="G53" s="7" t="n">
        <v>899</v>
      </c>
      <c r="H53" s="7" t="n">
        <v>236</v>
      </c>
      <c r="I53" s="33" t="n">
        <v>0.207929515418502</v>
      </c>
    </row>
    <row r="54" customFormat="false" ht="15" hidden="false" customHeight="false" outlineLevel="0" collapsed="false">
      <c r="A54" s="34" t="n">
        <v>46166</v>
      </c>
      <c r="B54" s="20" t="s">
        <v>169</v>
      </c>
      <c r="C54" s="9" t="s">
        <v>126</v>
      </c>
      <c r="D54" s="9" t="s">
        <v>118</v>
      </c>
      <c r="E54" s="9" t="s">
        <v>109</v>
      </c>
      <c r="F54" s="11" t="n">
        <v>250</v>
      </c>
      <c r="G54" s="11" t="n">
        <v>390</v>
      </c>
      <c r="H54" s="11" t="n">
        <v>-140</v>
      </c>
      <c r="I54" s="12" t="n">
        <v>-0.56</v>
      </c>
    </row>
    <row r="55" customFormat="false" ht="15" hidden="false" customHeight="false" outlineLevel="0" collapsed="false">
      <c r="A55" s="13" t="s">
        <v>41</v>
      </c>
      <c r="B55" s="14"/>
      <c r="C55" s="14"/>
      <c r="D55" s="14"/>
      <c r="E55" s="14"/>
      <c r="F55" s="16" t="n">
        <f aca="false">SUM(F5:F54)</f>
        <v>59230</v>
      </c>
      <c r="G55" s="16" t="n">
        <f aca="false">SUM(G5:G54)</f>
        <v>50962</v>
      </c>
      <c r="H55" s="16" t="n">
        <f aca="false">SUM(H5:H54)</f>
        <v>8268</v>
      </c>
      <c r="I55" s="17" t="n">
        <f aca="false">IFERROR(H55/F55,0)</f>
        <v>0.139591423265237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20"/>
  </cols>
  <sheetData>
    <row r="1" customFormat="false" ht="15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104</v>
      </c>
      <c r="B4" s="4" t="s">
        <v>171</v>
      </c>
      <c r="C4" s="4" t="s">
        <v>172</v>
      </c>
      <c r="D4" s="4" t="s">
        <v>173</v>
      </c>
      <c r="E4" s="4" t="s">
        <v>174</v>
      </c>
      <c r="F4" s="4" t="s">
        <v>175</v>
      </c>
      <c r="G4" s="3" t="s">
        <v>66</v>
      </c>
    </row>
    <row r="5" customFormat="false" ht="15" hidden="false" customHeight="false" outlineLevel="0" collapsed="false">
      <c r="A5" s="35" t="s">
        <v>118</v>
      </c>
      <c r="B5" s="6" t="n">
        <v>9</v>
      </c>
      <c r="C5" s="7" t="n">
        <v>16275</v>
      </c>
      <c r="D5" s="33" t="n">
        <v>0.274776295796049</v>
      </c>
      <c r="E5" s="7" t="n">
        <v>1808.33333333333</v>
      </c>
      <c r="F5" s="7" t="n">
        <v>2531.66666666667</v>
      </c>
      <c r="G5" s="5" t="s">
        <v>176</v>
      </c>
    </row>
    <row r="6" customFormat="false" ht="15" hidden="false" customHeight="false" outlineLevel="0" collapsed="false">
      <c r="A6" s="36" t="s">
        <v>112</v>
      </c>
      <c r="B6" s="10" t="n">
        <v>13</v>
      </c>
      <c r="C6" s="11" t="n">
        <v>15555</v>
      </c>
      <c r="D6" s="12" t="n">
        <v>0.262620293770049</v>
      </c>
      <c r="E6" s="11" t="n">
        <v>1196.53846153846</v>
      </c>
      <c r="F6" s="11" t="n">
        <v>1675.15384615385</v>
      </c>
      <c r="G6" s="9" t="s">
        <v>177</v>
      </c>
    </row>
    <row r="7" customFormat="false" ht="15" hidden="false" customHeight="false" outlineLevel="0" collapsed="false">
      <c r="A7" s="36" t="s">
        <v>68</v>
      </c>
      <c r="B7" s="6" t="n">
        <v>15</v>
      </c>
      <c r="C7" s="7" t="n">
        <v>13165</v>
      </c>
      <c r="D7" s="33" t="n">
        <v>0.222269120378187</v>
      </c>
      <c r="E7" s="7" t="n">
        <v>877.666666666667</v>
      </c>
      <c r="F7" s="7" t="n">
        <v>1228.73333333333</v>
      </c>
      <c r="G7" s="5" t="s">
        <v>178</v>
      </c>
    </row>
    <row r="8" customFormat="false" ht="15" hidden="false" customHeight="false" outlineLevel="0" collapsed="false">
      <c r="A8" s="37" t="s">
        <v>130</v>
      </c>
      <c r="B8" s="10" t="n">
        <v>6</v>
      </c>
      <c r="C8" s="11" t="n">
        <v>8600</v>
      </c>
      <c r="D8" s="12" t="n">
        <v>0.145196690866115</v>
      </c>
      <c r="E8" s="11" t="n">
        <v>1433.33333333333</v>
      </c>
      <c r="F8" s="11" t="n">
        <v>2006.66666666667</v>
      </c>
      <c r="G8" s="9" t="s">
        <v>179</v>
      </c>
    </row>
    <row r="9" customFormat="false" ht="15" hidden="false" customHeight="false" outlineLevel="0" collapsed="false">
      <c r="A9" s="38" t="s">
        <v>135</v>
      </c>
      <c r="B9" s="6" t="n">
        <v>7</v>
      </c>
      <c r="C9" s="7" t="n">
        <v>5635</v>
      </c>
      <c r="D9" s="33" t="n">
        <v>0.0951375991895999</v>
      </c>
      <c r="E9" s="7" t="n">
        <v>805</v>
      </c>
      <c r="F9" s="7" t="n">
        <v>1127</v>
      </c>
      <c r="G9" s="5" t="s">
        <v>180</v>
      </c>
    </row>
    <row r="10" customFormat="false" ht="15" hidden="false" customHeight="false" outlineLevel="0" collapsed="false">
      <c r="A10" s="13" t="s">
        <v>41</v>
      </c>
      <c r="B10" s="15" t="n">
        <f aca="false">SUM(B5:B9)</f>
        <v>50</v>
      </c>
      <c r="C10" s="16" t="n">
        <f aca="false">SUM(C5:C9)</f>
        <v>59230</v>
      </c>
      <c r="D10" s="17" t="n">
        <f aca="false">SUM(D5:D9)</f>
        <v>1</v>
      </c>
      <c r="E10" s="14"/>
      <c r="F10" s="14"/>
      <c r="G10" s="14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5FA5"/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7" min="5" style="0" width="14"/>
    <col collapsed="false" customWidth="true" hidden="false" outlineLevel="0" max="8" min="8" style="0" width="10"/>
  </cols>
  <sheetData>
    <row r="1" customFormat="false" ht="1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87</v>
      </c>
      <c r="B4" s="3" t="s">
        <v>3</v>
      </c>
      <c r="C4" s="3" t="s">
        <v>88</v>
      </c>
      <c r="D4" s="4" t="s">
        <v>5</v>
      </c>
      <c r="E4" s="4" t="s">
        <v>6</v>
      </c>
      <c r="F4" s="4" t="s">
        <v>90</v>
      </c>
      <c r="G4" s="4" t="s">
        <v>106</v>
      </c>
      <c r="H4" s="4" t="s">
        <v>9</v>
      </c>
    </row>
    <row r="5" customFormat="false" ht="15" hidden="false" customHeight="false" outlineLevel="0" collapsed="false">
      <c r="A5" s="5" t="s">
        <v>14</v>
      </c>
      <c r="B5" s="5" t="s">
        <v>15</v>
      </c>
      <c r="C5" s="5" t="s">
        <v>13</v>
      </c>
      <c r="D5" s="6" t="n">
        <v>20</v>
      </c>
      <c r="E5" s="7" t="n">
        <v>10400</v>
      </c>
      <c r="F5" s="7" t="n">
        <v>8240</v>
      </c>
      <c r="G5" s="7" t="n">
        <v>2160</v>
      </c>
      <c r="H5" s="33" t="n">
        <v>0.207692307692308</v>
      </c>
    </row>
    <row r="6" customFormat="false" ht="15" hidden="false" customHeight="false" outlineLevel="0" collapsed="false">
      <c r="A6" s="9" t="s">
        <v>16</v>
      </c>
      <c r="B6" s="9" t="s">
        <v>17</v>
      </c>
      <c r="C6" s="9" t="s">
        <v>18</v>
      </c>
      <c r="D6" s="10" t="n">
        <v>12</v>
      </c>
      <c r="E6" s="11" t="n">
        <v>9840</v>
      </c>
      <c r="F6" s="11" t="n">
        <v>7800</v>
      </c>
      <c r="G6" s="11" t="n">
        <v>2040</v>
      </c>
      <c r="H6" s="12" t="n">
        <v>0.207317073170732</v>
      </c>
    </row>
    <row r="7" customFormat="false" ht="15" hidden="false" customHeight="false" outlineLevel="0" collapsed="false">
      <c r="A7" s="5" t="s">
        <v>11</v>
      </c>
      <c r="B7" s="5" t="s">
        <v>12</v>
      </c>
      <c r="C7" s="5" t="s">
        <v>13</v>
      </c>
      <c r="D7" s="6" t="n">
        <v>20</v>
      </c>
      <c r="E7" s="7" t="n">
        <v>9600</v>
      </c>
      <c r="F7" s="7" t="n">
        <v>6300</v>
      </c>
      <c r="G7" s="7" t="n">
        <v>3300</v>
      </c>
      <c r="H7" s="33" t="n">
        <v>0.34375</v>
      </c>
    </row>
    <row r="8" customFormat="false" ht="15" hidden="false" customHeight="false" outlineLevel="0" collapsed="false">
      <c r="A8" s="9" t="s">
        <v>19</v>
      </c>
      <c r="B8" s="9" t="s">
        <v>20</v>
      </c>
      <c r="C8" s="9" t="s">
        <v>21</v>
      </c>
      <c r="D8" s="10" t="n">
        <v>26</v>
      </c>
      <c r="E8" s="11" t="n">
        <v>8060</v>
      </c>
      <c r="F8" s="11" t="n">
        <v>6240</v>
      </c>
      <c r="G8" s="11" t="n">
        <v>1820</v>
      </c>
      <c r="H8" s="12" t="n">
        <v>0.225806451612903</v>
      </c>
    </row>
    <row r="9" customFormat="false" ht="15" hidden="false" customHeight="false" outlineLevel="0" collapsed="false">
      <c r="A9" s="5" t="s">
        <v>22</v>
      </c>
      <c r="B9" s="5" t="s">
        <v>23</v>
      </c>
      <c r="C9" s="5" t="s">
        <v>21</v>
      </c>
      <c r="D9" s="6" t="n">
        <v>22</v>
      </c>
      <c r="E9" s="7" t="n">
        <v>5500</v>
      </c>
      <c r="F9" s="7" t="n">
        <v>4290</v>
      </c>
      <c r="G9" s="7" t="n">
        <v>1210</v>
      </c>
      <c r="H9" s="33" t="n">
        <v>0.22</v>
      </c>
    </row>
    <row r="10" customFormat="false" ht="15" hidden="false" customHeight="false" outlineLevel="0" collapsed="false">
      <c r="A10" s="9" t="s">
        <v>24</v>
      </c>
      <c r="B10" s="9" t="s">
        <v>25</v>
      </c>
      <c r="C10" s="9" t="s">
        <v>26</v>
      </c>
      <c r="D10" s="10" t="n">
        <v>14</v>
      </c>
      <c r="E10" s="11" t="n">
        <v>5040</v>
      </c>
      <c r="F10" s="11" t="n">
        <v>3920</v>
      </c>
      <c r="G10" s="11" t="n">
        <v>1120</v>
      </c>
      <c r="H10" s="12" t="n">
        <v>0.222222222222222</v>
      </c>
    </row>
    <row r="11" customFormat="false" ht="15" hidden="false" customHeight="false" outlineLevel="0" collapsed="false">
      <c r="A11" s="5" t="s">
        <v>27</v>
      </c>
      <c r="B11" s="5" t="s">
        <v>28</v>
      </c>
      <c r="C11" s="5" t="s">
        <v>18</v>
      </c>
      <c r="D11" s="6" t="n">
        <v>26</v>
      </c>
      <c r="E11" s="7" t="n">
        <v>4160</v>
      </c>
      <c r="F11" s="7" t="n">
        <v>3120</v>
      </c>
      <c r="G11" s="7" t="n">
        <v>1040</v>
      </c>
      <c r="H11" s="33" t="n">
        <v>0.25</v>
      </c>
    </row>
    <row r="12" customFormat="false" ht="15" hidden="false" customHeight="false" outlineLevel="0" collapsed="false">
      <c r="A12" s="9" t="s">
        <v>29</v>
      </c>
      <c r="B12" s="9" t="s">
        <v>30</v>
      </c>
      <c r="C12" s="9" t="s">
        <v>31</v>
      </c>
      <c r="D12" s="10" t="n">
        <v>16</v>
      </c>
      <c r="E12" s="11" t="n">
        <v>3520</v>
      </c>
      <c r="F12" s="11" t="n">
        <v>2880</v>
      </c>
      <c r="G12" s="11" t="n">
        <v>640</v>
      </c>
      <c r="H12" s="12" t="n">
        <v>0.181818181818182</v>
      </c>
    </row>
    <row r="13" customFormat="false" ht="15" hidden="false" customHeight="false" outlineLevel="0" collapsed="false">
      <c r="A13" s="5" t="s">
        <v>32</v>
      </c>
      <c r="B13" s="5" t="s">
        <v>33</v>
      </c>
      <c r="C13" s="5" t="s">
        <v>26</v>
      </c>
      <c r="D13" s="6" t="n">
        <v>9</v>
      </c>
      <c r="E13" s="7" t="n">
        <v>1080</v>
      </c>
      <c r="F13" s="7" t="n">
        <v>828</v>
      </c>
      <c r="G13" s="7" t="n">
        <v>252</v>
      </c>
      <c r="H13" s="33" t="n">
        <v>0.233333333333333</v>
      </c>
    </row>
    <row r="14" customFormat="false" ht="15" hidden="false" customHeight="false" outlineLevel="0" collapsed="false">
      <c r="A14" s="9" t="s">
        <v>34</v>
      </c>
      <c r="B14" s="9" t="s">
        <v>35</v>
      </c>
      <c r="C14" s="9" t="s">
        <v>31</v>
      </c>
      <c r="D14" s="10" t="n">
        <v>11</v>
      </c>
      <c r="E14" s="11" t="n">
        <v>1045</v>
      </c>
      <c r="F14" s="11" t="n">
        <v>825</v>
      </c>
      <c r="G14" s="11" t="n">
        <v>220</v>
      </c>
      <c r="H14" s="12" t="n">
        <v>0.210526315789474</v>
      </c>
    </row>
    <row r="15" customFormat="false" ht="15" hidden="false" customHeight="false" outlineLevel="0" collapsed="false">
      <c r="A15" s="5" t="s">
        <v>36</v>
      </c>
      <c r="B15" s="5" t="s">
        <v>37</v>
      </c>
      <c r="C15" s="5" t="s">
        <v>38</v>
      </c>
      <c r="D15" s="6" t="n">
        <v>4</v>
      </c>
      <c r="E15" s="7" t="n">
        <v>920</v>
      </c>
      <c r="F15" s="7" t="n">
        <v>728</v>
      </c>
      <c r="G15" s="7" t="n">
        <v>192</v>
      </c>
      <c r="H15" s="33" t="n">
        <v>0.208695652173913</v>
      </c>
    </row>
    <row r="16" customFormat="false" ht="15" hidden="false" customHeight="false" outlineLevel="0" collapsed="false">
      <c r="A16" s="9" t="s">
        <v>39</v>
      </c>
      <c r="B16" s="9" t="s">
        <v>40</v>
      </c>
      <c r="C16" s="9" t="s">
        <v>13</v>
      </c>
      <c r="D16" s="10" t="n">
        <v>9</v>
      </c>
      <c r="E16" s="11" t="n">
        <v>675</v>
      </c>
      <c r="F16" s="11" t="n">
        <v>495</v>
      </c>
      <c r="G16" s="11" t="n">
        <v>180</v>
      </c>
      <c r="H16" s="12" t="n">
        <v>0.266666666666667</v>
      </c>
    </row>
    <row r="17" customFormat="false" ht="15" hidden="false" customHeight="false" outlineLevel="0" collapsed="false">
      <c r="A17" s="13" t="s">
        <v>41</v>
      </c>
      <c r="B17" s="14"/>
      <c r="C17" s="14"/>
      <c r="D17" s="15" t="n">
        <f aca="false">SUM(D5:D16)</f>
        <v>189</v>
      </c>
      <c r="E17" s="16" t="n">
        <f aca="false">SUM(E5:E16)</f>
        <v>59840</v>
      </c>
      <c r="F17" s="16" t="n">
        <f aca="false">SUM(F5:F16)</f>
        <v>45666</v>
      </c>
      <c r="G17" s="16" t="n">
        <f aca="false">SUM(G5:G16)</f>
        <v>14174</v>
      </c>
      <c r="H17" s="17" t="n">
        <f aca="false">IFERROR(G17/E17,0)</f>
        <v>0.236864973262032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4AB7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21.75" hidden="false" customHeight="true" outlineLevel="0" collapsed="false">
      <c r="A1" s="39" t="s">
        <v>182</v>
      </c>
      <c r="B1" s="39"/>
      <c r="C1" s="39"/>
      <c r="D1" s="39"/>
      <c r="E1" s="39"/>
      <c r="F1" s="39"/>
      <c r="G1" s="39"/>
      <c r="H1" s="39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40" t="s">
        <v>183</v>
      </c>
      <c r="C4" s="41" t="s">
        <v>7</v>
      </c>
      <c r="E4" s="42" t="s">
        <v>8</v>
      </c>
      <c r="G4" s="43" t="s">
        <v>171</v>
      </c>
      <c r="H4" s="44" t="s">
        <v>184</v>
      </c>
    </row>
    <row r="5" customFormat="false" ht="21.75" hidden="false" customHeight="true" outlineLevel="0" collapsed="false">
      <c r="A5" s="30" t="n">
        <v>59230</v>
      </c>
      <c r="C5" s="45" t="n">
        <v>50962</v>
      </c>
      <c r="E5" s="46" t="n">
        <v>8268</v>
      </c>
      <c r="G5" s="47" t="n">
        <v>50</v>
      </c>
      <c r="H5" s="48" t="n">
        <v>0.139591423265237</v>
      </c>
    </row>
    <row r="6" customFormat="false" ht="15" hidden="false" customHeight="false" outlineLevel="0" collapsed="false">
      <c r="A6" s="18" t="s">
        <v>101</v>
      </c>
      <c r="B6" s="4" t="s">
        <v>171</v>
      </c>
      <c r="C6" s="4" t="s">
        <v>6</v>
      </c>
      <c r="D6" s="4" t="s">
        <v>90</v>
      </c>
      <c r="E6" s="4" t="s">
        <v>106</v>
      </c>
      <c r="F6" s="4" t="s">
        <v>9</v>
      </c>
      <c r="G6" s="4" t="s">
        <v>185</v>
      </c>
      <c r="H6" s="4" t="s">
        <v>186</v>
      </c>
    </row>
    <row r="7" customFormat="false" ht="15" hidden="false" customHeight="false" outlineLevel="0" collapsed="false">
      <c r="A7" s="32" t="n">
        <v>46143</v>
      </c>
      <c r="B7" s="6" t="n">
        <v>1</v>
      </c>
      <c r="C7" s="7" t="n">
        <v>1960</v>
      </c>
      <c r="D7" s="7" t="n">
        <v>1551</v>
      </c>
      <c r="E7" s="7" t="n">
        <v>409</v>
      </c>
      <c r="F7" s="33" t="n">
        <v>0.208673469387755</v>
      </c>
      <c r="G7" s="6" t="n">
        <v>1</v>
      </c>
      <c r="H7" s="7" t="n">
        <v>1960</v>
      </c>
    </row>
    <row r="8" customFormat="false" ht="15" hidden="false" customHeight="false" outlineLevel="0" collapsed="false">
      <c r="A8" s="34" t="n">
        <v>46144</v>
      </c>
      <c r="B8" s="10" t="n">
        <v>2</v>
      </c>
      <c r="C8" s="11" t="n">
        <v>2080</v>
      </c>
      <c r="D8" s="11" t="n">
        <v>1621</v>
      </c>
      <c r="E8" s="11" t="n">
        <v>459</v>
      </c>
      <c r="F8" s="12" t="n">
        <v>0.220673076923077</v>
      </c>
      <c r="G8" s="10" t="n">
        <v>2</v>
      </c>
      <c r="H8" s="11" t="n">
        <v>1040</v>
      </c>
    </row>
    <row r="9" customFormat="false" ht="15" hidden="false" customHeight="false" outlineLevel="0" collapsed="false">
      <c r="A9" s="32" t="n">
        <v>46145</v>
      </c>
      <c r="B9" s="6" t="n">
        <v>2</v>
      </c>
      <c r="C9" s="7" t="n">
        <v>2100</v>
      </c>
      <c r="D9" s="7" t="n">
        <v>2270</v>
      </c>
      <c r="E9" s="7" t="n">
        <v>-170</v>
      </c>
      <c r="F9" s="33" t="n">
        <v>-0.080952380952381</v>
      </c>
      <c r="G9" s="6" t="n">
        <v>2</v>
      </c>
      <c r="H9" s="7" t="n">
        <v>1050</v>
      </c>
    </row>
    <row r="10" customFormat="false" ht="15" hidden="false" customHeight="false" outlineLevel="0" collapsed="false">
      <c r="A10" s="34" t="n">
        <v>46147</v>
      </c>
      <c r="B10" s="10" t="n">
        <v>2</v>
      </c>
      <c r="C10" s="11" t="n">
        <v>885</v>
      </c>
      <c r="D10" s="11" t="n">
        <v>990</v>
      </c>
      <c r="E10" s="11" t="n">
        <v>-105</v>
      </c>
      <c r="F10" s="12" t="n">
        <v>-0.11864406779661</v>
      </c>
      <c r="G10" s="10" t="n">
        <v>2</v>
      </c>
      <c r="H10" s="11" t="n">
        <v>442.5</v>
      </c>
    </row>
    <row r="11" customFormat="false" ht="15" hidden="false" customHeight="false" outlineLevel="0" collapsed="false">
      <c r="A11" s="32" t="n">
        <v>46149</v>
      </c>
      <c r="B11" s="6" t="n">
        <v>1</v>
      </c>
      <c r="C11" s="7" t="n">
        <v>1080</v>
      </c>
      <c r="D11" s="7" t="n">
        <v>560</v>
      </c>
      <c r="E11" s="7" t="n">
        <v>520</v>
      </c>
      <c r="F11" s="33" t="n">
        <v>0.481481481481482</v>
      </c>
      <c r="G11" s="6" t="n">
        <v>1</v>
      </c>
      <c r="H11" s="7" t="n">
        <v>1080</v>
      </c>
    </row>
    <row r="12" customFormat="false" ht="15" hidden="false" customHeight="false" outlineLevel="0" collapsed="false">
      <c r="A12" s="34" t="n">
        <v>46150</v>
      </c>
      <c r="B12" s="10" t="n">
        <v>2</v>
      </c>
      <c r="C12" s="11" t="n">
        <v>3620</v>
      </c>
      <c r="D12" s="11" t="n">
        <v>1863</v>
      </c>
      <c r="E12" s="11" t="n">
        <v>1757</v>
      </c>
      <c r="F12" s="12" t="n">
        <v>0.4853591160221</v>
      </c>
      <c r="G12" s="10" t="n">
        <v>2</v>
      </c>
      <c r="H12" s="11" t="n">
        <v>1810</v>
      </c>
    </row>
    <row r="13" customFormat="false" ht="15" hidden="false" customHeight="false" outlineLevel="0" collapsed="false">
      <c r="A13" s="32" t="n">
        <v>46151</v>
      </c>
      <c r="B13" s="6" t="n">
        <v>5</v>
      </c>
      <c r="C13" s="7" t="n">
        <v>4560</v>
      </c>
      <c r="D13" s="7" t="n">
        <v>4395</v>
      </c>
      <c r="E13" s="7" t="n">
        <v>165</v>
      </c>
      <c r="F13" s="33" t="n">
        <v>0.0361842105263158</v>
      </c>
      <c r="G13" s="6" t="n">
        <v>3</v>
      </c>
      <c r="H13" s="7" t="n">
        <v>912</v>
      </c>
    </row>
    <row r="14" customFormat="false" ht="15" hidden="false" customHeight="false" outlineLevel="0" collapsed="false">
      <c r="A14" s="34" t="n">
        <v>46152</v>
      </c>
      <c r="B14" s="10" t="n">
        <v>3</v>
      </c>
      <c r="C14" s="11" t="n">
        <v>5525</v>
      </c>
      <c r="D14" s="11" t="n">
        <v>3957</v>
      </c>
      <c r="E14" s="11" t="n">
        <v>1568</v>
      </c>
      <c r="F14" s="12" t="n">
        <v>0.283800904977376</v>
      </c>
      <c r="G14" s="10" t="n">
        <v>3</v>
      </c>
      <c r="H14" s="11" t="n">
        <v>1841.66666666667</v>
      </c>
    </row>
    <row r="15" customFormat="false" ht="15" hidden="false" customHeight="false" outlineLevel="0" collapsed="false">
      <c r="A15" s="32" t="n">
        <v>46153</v>
      </c>
      <c r="B15" s="6" t="n">
        <v>2</v>
      </c>
      <c r="C15" s="7" t="n">
        <v>2250</v>
      </c>
      <c r="D15" s="7" t="n">
        <v>1635</v>
      </c>
      <c r="E15" s="7" t="n">
        <v>615</v>
      </c>
      <c r="F15" s="33" t="n">
        <v>0.273333333333333</v>
      </c>
      <c r="G15" s="6" t="n">
        <v>2</v>
      </c>
      <c r="H15" s="7" t="n">
        <v>1125</v>
      </c>
    </row>
    <row r="16" customFormat="false" ht="15" hidden="false" customHeight="false" outlineLevel="0" collapsed="false">
      <c r="A16" s="34" t="n">
        <v>46154</v>
      </c>
      <c r="B16" s="10" t="n">
        <v>1</v>
      </c>
      <c r="C16" s="11" t="n">
        <v>1445</v>
      </c>
      <c r="D16" s="11" t="n">
        <v>1159</v>
      </c>
      <c r="E16" s="11" t="n">
        <v>286</v>
      </c>
      <c r="F16" s="12" t="n">
        <v>0.197923875432526</v>
      </c>
      <c r="G16" s="10" t="n">
        <v>1</v>
      </c>
      <c r="H16" s="11" t="n">
        <v>1445</v>
      </c>
    </row>
    <row r="17" customFormat="false" ht="15" hidden="false" customHeight="false" outlineLevel="0" collapsed="false">
      <c r="A17" s="32" t="n">
        <v>46155</v>
      </c>
      <c r="B17" s="6" t="n">
        <v>2</v>
      </c>
      <c r="C17" s="7" t="n">
        <v>730</v>
      </c>
      <c r="D17" s="7" t="n">
        <v>754</v>
      </c>
      <c r="E17" s="7" t="n">
        <v>-24</v>
      </c>
      <c r="F17" s="33" t="n">
        <v>-0.0328767123287671</v>
      </c>
      <c r="G17" s="6" t="n">
        <v>2</v>
      </c>
      <c r="H17" s="7" t="n">
        <v>365</v>
      </c>
    </row>
    <row r="18" customFormat="false" ht="15" hidden="false" customHeight="false" outlineLevel="0" collapsed="false">
      <c r="A18" s="34" t="n">
        <v>46156</v>
      </c>
      <c r="B18" s="10" t="n">
        <v>4</v>
      </c>
      <c r="C18" s="11" t="n">
        <v>6555</v>
      </c>
      <c r="D18" s="11" t="n">
        <v>4197</v>
      </c>
      <c r="E18" s="11" t="n">
        <v>2358</v>
      </c>
      <c r="F18" s="12" t="n">
        <v>0.359725400457666</v>
      </c>
      <c r="G18" s="10" t="n">
        <v>4</v>
      </c>
      <c r="H18" s="11" t="n">
        <v>1638.75</v>
      </c>
    </row>
    <row r="19" customFormat="false" ht="15" hidden="false" customHeight="false" outlineLevel="0" collapsed="false">
      <c r="A19" s="32" t="n">
        <v>46157</v>
      </c>
      <c r="B19" s="6" t="n">
        <v>4</v>
      </c>
      <c r="C19" s="7" t="n">
        <v>4645</v>
      </c>
      <c r="D19" s="7" t="n">
        <v>3940</v>
      </c>
      <c r="E19" s="7" t="n">
        <v>705</v>
      </c>
      <c r="F19" s="33" t="n">
        <v>0.151776103336921</v>
      </c>
      <c r="G19" s="6" t="n">
        <v>3</v>
      </c>
      <c r="H19" s="7" t="n">
        <v>1161.25</v>
      </c>
    </row>
    <row r="20" customFormat="false" ht="15" hidden="false" customHeight="false" outlineLevel="0" collapsed="false">
      <c r="A20" s="34" t="n">
        <v>46158</v>
      </c>
      <c r="B20" s="10" t="n">
        <v>1</v>
      </c>
      <c r="C20" s="11" t="n">
        <v>1080</v>
      </c>
      <c r="D20" s="11" t="n">
        <v>916</v>
      </c>
      <c r="E20" s="11" t="n">
        <v>164</v>
      </c>
      <c r="F20" s="12" t="n">
        <v>0.151851851851852</v>
      </c>
      <c r="G20" s="10" t="n">
        <v>1</v>
      </c>
      <c r="H20" s="11" t="n">
        <v>1080</v>
      </c>
    </row>
    <row r="21" customFormat="false" ht="15" hidden="false" customHeight="false" outlineLevel="0" collapsed="false">
      <c r="A21" s="32" t="n">
        <v>46159</v>
      </c>
      <c r="B21" s="6" t="n">
        <v>1</v>
      </c>
      <c r="C21" s="7" t="n">
        <v>1410</v>
      </c>
      <c r="D21" s="7" t="n">
        <v>480</v>
      </c>
      <c r="E21" s="7" t="n">
        <v>930</v>
      </c>
      <c r="F21" s="33" t="n">
        <v>0.659574468085106</v>
      </c>
      <c r="G21" s="6" t="n">
        <v>1</v>
      </c>
      <c r="H21" s="7" t="n">
        <v>1410</v>
      </c>
    </row>
    <row r="22" customFormat="false" ht="15" hidden="false" customHeight="false" outlineLevel="0" collapsed="false">
      <c r="A22" s="34" t="n">
        <v>46160</v>
      </c>
      <c r="B22" s="10" t="n">
        <v>3</v>
      </c>
      <c r="C22" s="11" t="n">
        <v>5150</v>
      </c>
      <c r="D22" s="11" t="n">
        <v>3205</v>
      </c>
      <c r="E22" s="11" t="n">
        <v>1945</v>
      </c>
      <c r="F22" s="12" t="n">
        <v>0.377669902912621</v>
      </c>
      <c r="G22" s="10" t="n">
        <v>2</v>
      </c>
      <c r="H22" s="11" t="n">
        <v>1716.66666666667</v>
      </c>
    </row>
    <row r="23" customFormat="false" ht="15" hidden="false" customHeight="false" outlineLevel="0" collapsed="false">
      <c r="A23" s="32" t="n">
        <v>46161</v>
      </c>
      <c r="B23" s="6" t="n">
        <v>2</v>
      </c>
      <c r="C23" s="7" t="n">
        <v>1960</v>
      </c>
      <c r="D23" s="7" t="n">
        <v>2591</v>
      </c>
      <c r="E23" s="7" t="n">
        <v>-631</v>
      </c>
      <c r="F23" s="33" t="n">
        <v>-0.321938775510204</v>
      </c>
      <c r="G23" s="6" t="n">
        <v>2</v>
      </c>
      <c r="H23" s="7" t="n">
        <v>980</v>
      </c>
    </row>
    <row r="24" customFormat="false" ht="15" hidden="false" customHeight="false" outlineLevel="0" collapsed="false">
      <c r="A24" s="34" t="n">
        <v>46162</v>
      </c>
      <c r="B24" s="10" t="n">
        <v>2</v>
      </c>
      <c r="C24" s="11" t="n">
        <v>1375</v>
      </c>
      <c r="D24" s="11" t="n">
        <v>1666</v>
      </c>
      <c r="E24" s="11" t="n">
        <v>-291</v>
      </c>
      <c r="F24" s="12" t="n">
        <v>-0.211636363636364</v>
      </c>
      <c r="G24" s="10" t="n">
        <v>2</v>
      </c>
      <c r="H24" s="11" t="n">
        <v>687.5</v>
      </c>
    </row>
    <row r="25" customFormat="false" ht="15" hidden="false" customHeight="false" outlineLevel="0" collapsed="false">
      <c r="A25" s="32" t="n">
        <v>46163</v>
      </c>
      <c r="B25" s="6" t="n">
        <v>2</v>
      </c>
      <c r="C25" s="7" t="n">
        <v>4235</v>
      </c>
      <c r="D25" s="7" t="n">
        <v>5403</v>
      </c>
      <c r="E25" s="7" t="n">
        <v>-1168</v>
      </c>
      <c r="F25" s="33" t="n">
        <v>-0.275796930342385</v>
      </c>
      <c r="G25" s="6" t="n">
        <v>2</v>
      </c>
      <c r="H25" s="7" t="n">
        <v>2117.5</v>
      </c>
    </row>
    <row r="26" customFormat="false" ht="15" hidden="false" customHeight="false" outlineLevel="0" collapsed="false">
      <c r="A26" s="34" t="n">
        <v>46164</v>
      </c>
      <c r="B26" s="10" t="n">
        <v>4</v>
      </c>
      <c r="C26" s="11" t="n">
        <v>3160</v>
      </c>
      <c r="D26" s="11" t="n">
        <v>3934</v>
      </c>
      <c r="E26" s="11" t="n">
        <v>-774</v>
      </c>
      <c r="F26" s="12" t="n">
        <v>-0.24493670886076</v>
      </c>
      <c r="G26" s="10" t="n">
        <v>1</v>
      </c>
      <c r="H26" s="11" t="n">
        <v>790</v>
      </c>
    </row>
    <row r="27" customFormat="false" ht="15" hidden="false" customHeight="false" outlineLevel="0" collapsed="false">
      <c r="A27" s="32" t="n">
        <v>46165</v>
      </c>
      <c r="B27" s="6" t="n">
        <v>2</v>
      </c>
      <c r="C27" s="7" t="n">
        <v>2040</v>
      </c>
      <c r="D27" s="7" t="n">
        <v>2586</v>
      </c>
      <c r="E27" s="7" t="n">
        <v>-546</v>
      </c>
      <c r="F27" s="33" t="n">
        <v>-0.267647058823529</v>
      </c>
      <c r="G27" s="6" t="n">
        <v>2</v>
      </c>
      <c r="H27" s="7" t="n">
        <v>1020</v>
      </c>
    </row>
    <row r="28" customFormat="false" ht="15" hidden="false" customHeight="false" outlineLevel="0" collapsed="false">
      <c r="A28" s="34" t="n">
        <v>46166</v>
      </c>
      <c r="B28" s="10" t="n">
        <v>2</v>
      </c>
      <c r="C28" s="11" t="n">
        <v>1385</v>
      </c>
      <c r="D28" s="11" t="n">
        <v>1289</v>
      </c>
      <c r="E28" s="11" t="n">
        <v>96</v>
      </c>
      <c r="F28" s="12" t="n">
        <v>0.0693140794223827</v>
      </c>
      <c r="G28" s="10" t="n">
        <v>1</v>
      </c>
      <c r="H28" s="11" t="n">
        <v>692.5</v>
      </c>
    </row>
    <row r="29" customFormat="false" ht="15.75" hidden="false" customHeight="true" outlineLevel="0" collapsed="false">
      <c r="A29" s="13" t="s">
        <v>187</v>
      </c>
      <c r="B29" s="15" t="n">
        <f aca="false">SUM(B7:B28)</f>
        <v>50</v>
      </c>
      <c r="C29" s="16" t="n">
        <f aca="false">SUM(C7:C28)</f>
        <v>59230</v>
      </c>
      <c r="D29" s="16" t="n">
        <f aca="false">SUM(D7:D28)</f>
        <v>50962</v>
      </c>
      <c r="E29" s="16" t="n">
        <f aca="false">SUM(E7:E28)</f>
        <v>8268</v>
      </c>
      <c r="F29" s="17" t="n">
        <f aca="false">IFERROR(E29/C29,0)</f>
        <v>0.139591423265237</v>
      </c>
      <c r="G29" s="14"/>
      <c r="H29" s="16" t="n">
        <f aca="false">IFERROR(C29/B29,0)</f>
        <v>1184.6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780"/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</cols>
  <sheetData>
    <row r="1" customFormat="false" ht="15" hidden="false" customHeight="true" outlineLevel="0" collapsed="false">
      <c r="A1" s="39" t="s">
        <v>188</v>
      </c>
      <c r="B1" s="39"/>
      <c r="C1" s="39"/>
      <c r="D1" s="39"/>
      <c r="E1" s="39"/>
      <c r="F1" s="39"/>
    </row>
    <row r="3" customFormat="false" ht="11.9" hidden="false" customHeight="false" outlineLevel="0" collapsed="false">
      <c r="A3" s="49" t="s">
        <v>189</v>
      </c>
      <c r="B3" s="49"/>
      <c r="C3" s="49"/>
      <c r="D3" s="49"/>
      <c r="E3" s="49"/>
      <c r="F3" s="49"/>
    </row>
    <row r="5" customFormat="false" ht="15" hidden="false" customHeight="false" outlineLevel="0" collapsed="false">
      <c r="A5" s="50" t="s">
        <v>190</v>
      </c>
      <c r="B5" s="51" t="n">
        <v>46143</v>
      </c>
    </row>
    <row r="6" customFormat="false" ht="15" hidden="false" customHeight="false" outlineLevel="0" collapsed="false">
      <c r="A6" s="50" t="s">
        <v>191</v>
      </c>
      <c r="B6" s="51" t="n">
        <v>46166</v>
      </c>
    </row>
    <row r="7" customFormat="false" ht="15" hidden="false" customHeight="false" outlineLevel="0" collapsed="false">
      <c r="A7" s="50" t="s">
        <v>192</v>
      </c>
      <c r="B7" s="52" t="s">
        <v>193</v>
      </c>
    </row>
    <row r="9" customFormat="false" ht="15" hidden="false" customHeight="false" outlineLevel="0" collapsed="false">
      <c r="A9" s="3" t="s">
        <v>194</v>
      </c>
      <c r="B9" s="53" t="s">
        <v>195</v>
      </c>
    </row>
    <row r="10" customFormat="false" ht="15" hidden="false" customHeight="false" outlineLevel="0" collapsed="false">
      <c r="A10" s="5" t="s">
        <v>196</v>
      </c>
      <c r="B10" s="54" t="s">
        <v>197</v>
      </c>
    </row>
    <row r="11" customFormat="false" ht="22.35" hidden="false" customHeight="false" outlineLevel="0" collapsed="false">
      <c r="A11" s="9" t="s">
        <v>198</v>
      </c>
      <c r="B11" s="55" t="s">
        <v>199</v>
      </c>
    </row>
    <row r="12" customFormat="false" ht="22.35" hidden="false" customHeight="false" outlineLevel="0" collapsed="false">
      <c r="A12" s="5" t="s">
        <v>200</v>
      </c>
      <c r="B12" s="54" t="s">
        <v>201</v>
      </c>
    </row>
    <row r="13" customFormat="false" ht="15" hidden="false" customHeight="false" outlineLevel="0" collapsed="false">
      <c r="A13" s="9" t="s">
        <v>202</v>
      </c>
      <c r="B13" s="55" t="s">
        <v>203</v>
      </c>
    </row>
    <row r="14" customFormat="false" ht="15" hidden="false" customHeight="false" outlineLevel="0" collapsed="false">
      <c r="A14" s="5" t="s">
        <v>204</v>
      </c>
      <c r="B14" s="54" t="s">
        <v>205</v>
      </c>
    </row>
    <row r="15" customFormat="false" ht="22.35" hidden="false" customHeight="false" outlineLevel="0" collapsed="false">
      <c r="A15" s="9" t="s">
        <v>206</v>
      </c>
      <c r="B15" s="55" t="s">
        <v>207</v>
      </c>
    </row>
    <row r="16" customFormat="false" ht="15" hidden="false" customHeight="false" outlineLevel="0" collapsed="false">
      <c r="A16" s="5" t="s">
        <v>208</v>
      </c>
      <c r="B16" s="54" t="s">
        <v>209</v>
      </c>
    </row>
    <row r="17" customFormat="false" ht="22.35" hidden="false" customHeight="false" outlineLevel="0" collapsed="false">
      <c r="A17" s="9" t="s">
        <v>210</v>
      </c>
      <c r="B17" s="55" t="s">
        <v>211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2026-05-25T05:09:34Z</dcterms:created>
  <dc:creator>openpyxl</dc:creator>
  <dc:description/>
  <dc:language>en-US</dc:language>
  <cp:lastModifiedBy/>
  <dcterms:modified xsi:type="dcterms:W3CDTF">2026-05-25T05:09:34Z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